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D:\code\project\roboticArm\my\selfHardWarePCB\MotorDriver\采购元件\"/>
    </mc:Choice>
  </mc:AlternateContent>
  <xr:revisionPtr revIDLastSave="0" documentId="13_ncr:1_{97ECD086-4D9B-4464-BF89-835196CD43BB}" xr6:coauthVersionLast="36" xr6:coauthVersionMax="36" xr10:uidLastSave="{00000000-0000-0000-0000-000000000000}"/>
  <bookViews>
    <workbookView xWindow="0" yWindow="0" windowWidth="22260" windowHeight="12650" xr2:uid="{00000000-000D-0000-FFFF-FFFF00000000}"/>
  </bookViews>
  <sheets>
    <sheet name="Sheet2" sheetId="2" r:id="rId1"/>
    <sheet name="Sheet1" sheetId="1" r:id="rId2"/>
  </sheets>
  <definedNames>
    <definedName name="ExternalData_1" localSheetId="0" hidden="1">Sheet2!$B$1:$N$44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2" i="2" l="1"/>
  <c r="L3" i="2"/>
  <c r="L4" i="2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3" i="2"/>
  <c r="L42" i="2"/>
  <c r="L44" i="2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FBF6F65-509F-40C9-9C0A-DA41B760B132}" keepAlive="1" name="查询 - Motor-42" description="与工作簿中“Motor-42”查询的连接。" type="5" refreshedVersion="6" background="1" saveData="1">
    <dbPr connection="Provider=Microsoft.Mashup.OleDb.1;Data Source=$Workbook$;Location=Motor-42;Extended Properties=&quot;&quot;" command="SELECT * FROM [Motor-42]"/>
  </connection>
</connections>
</file>

<file path=xl/sharedStrings.xml><?xml version="1.0" encoding="utf-8"?>
<sst xmlns="http://schemas.openxmlformats.org/spreadsheetml/2006/main" count="380" uniqueCount="166">
  <si>
    <t>Reference</t>
  </si>
  <si>
    <t>Qty</t>
  </si>
  <si>
    <t>Value</t>
  </si>
  <si>
    <t>DNP</t>
  </si>
  <si>
    <t>Exclude from BOM</t>
  </si>
  <si>
    <t>Exclude from Board</t>
  </si>
  <si>
    <t>Footprint</t>
  </si>
  <si>
    <t>Datasheet</t>
  </si>
  <si>
    <t>采购数量</t>
  </si>
  <si>
    <t>单价</t>
  </si>
  <si>
    <t>总价</t>
  </si>
  <si>
    <t>列1</t>
  </si>
  <si>
    <t>列2</t>
  </si>
  <si>
    <t>C1,C2,C4,C5,C6,C7,C8,C9,C15,C17,C18,C21,C25,C26,C32</t>
  </si>
  <si>
    <t>0.1uF</t>
  </si>
  <si>
    <t/>
  </si>
  <si>
    <t>CAP_0402</t>
  </si>
  <si>
    <t>0402 0.1uF 16V X7R 5%</t>
  </si>
  <si>
    <t>auwah旗舰店</t>
  </si>
  <si>
    <t>C3,C10,C19,C22,C24,C28,C30</t>
  </si>
  <si>
    <t>10uF</t>
  </si>
  <si>
    <t>040 100uF 16V X5R 220%</t>
  </si>
  <si>
    <t>C11,C12,C13,C14</t>
  </si>
  <si>
    <t>100uF</t>
  </si>
  <si>
    <t>1206-CAP</t>
  </si>
  <si>
    <t>12206 100uF 107M 20% 25V</t>
  </si>
  <si>
    <t>TIANYISHENG旗舰店</t>
  </si>
  <si>
    <t>C16</t>
  </si>
  <si>
    <t>100pF</t>
  </si>
  <si>
    <t>0402 100pF 50V NPO 5%</t>
  </si>
  <si>
    <t>C20</t>
  </si>
  <si>
    <t>10uF/50V</t>
  </si>
  <si>
    <t>10uF 106M 0402 50V</t>
  </si>
  <si>
    <t>深圳市宏宇电子</t>
  </si>
  <si>
    <t>C23</t>
  </si>
  <si>
    <t>10nF</t>
  </si>
  <si>
    <t>0402 10nF 50V X7R 10%</t>
  </si>
  <si>
    <t>C33</t>
  </si>
  <si>
    <t>220pF</t>
  </si>
  <si>
    <t>0402 220pF NPO 50V</t>
  </si>
  <si>
    <t>D1</t>
  </si>
  <si>
    <t>SS54</t>
  </si>
  <si>
    <t>DO-214AC</t>
  </si>
  <si>
    <t>深圳市科展伟业电子</t>
  </si>
  <si>
    <t>D2</t>
  </si>
  <si>
    <t>SMBJ28CA</t>
  </si>
  <si>
    <t>SMBJ-CA_MFG</t>
  </si>
  <si>
    <t>SMBJ28CA 28V 双向</t>
  </si>
  <si>
    <t>D3,D4</t>
  </si>
  <si>
    <t>二极管-5819W</t>
  </si>
  <si>
    <t>SOD-323</t>
  </si>
  <si>
    <t>1N5819WS 0805 SOD-323</t>
  </si>
  <si>
    <t>D6</t>
  </si>
  <si>
    <t>二极管-5B5819WS</t>
  </si>
  <si>
    <t>1N5819WS-SOD-323(0805)</t>
  </si>
  <si>
    <t>深圳市虹芯达电子</t>
  </si>
  <si>
    <t>J1</t>
  </si>
  <si>
    <t>跳线</t>
  </si>
  <si>
    <t>0402-0R</t>
  </si>
  <si>
    <t>K1,K2</t>
  </si>
  <si>
    <t>TACT 2P</t>
  </si>
  <si>
    <t>ButtonTACT_3x4x2_180</t>
  </si>
  <si>
    <t>100PCS 3*4*2MM 3X4X2mm SMD Tact 2P miniature micro switch /</t>
  </si>
  <si>
    <t>爱振甄选</t>
  </si>
  <si>
    <t>L1</t>
  </si>
  <si>
    <t>6.8uH</t>
  </si>
  <si>
    <t>IND-201612</t>
  </si>
  <si>
    <t>YSMC201612H-6R8M8</t>
  </si>
  <si>
    <t>深圳市元易购买电子</t>
  </si>
  <si>
    <t>L2</t>
  </si>
  <si>
    <t>2.2uH</t>
  </si>
  <si>
    <t>2520-L</t>
  </si>
  <si>
    <t>LQM2HPN2R2MG0L 2520 2.2uH 1.3A</t>
  </si>
  <si>
    <t>P1</t>
  </si>
  <si>
    <t>SH1.0-5P</t>
  </si>
  <si>
    <t>卧贴</t>
  </si>
  <si>
    <t>P2,P3,P4</t>
  </si>
  <si>
    <t>SH1.0-6P</t>
  </si>
  <si>
    <t>P5</t>
  </si>
  <si>
    <t>SH1.0-3P</t>
  </si>
  <si>
    <t>R1,R2,R6,R7,R17</t>
  </si>
  <si>
    <t>1K</t>
  </si>
  <si>
    <t>RES_0402</t>
  </si>
  <si>
    <t>0402 1K 0.1% 25ppm</t>
  </si>
  <si>
    <t>R3,R8</t>
  </si>
  <si>
    <t>0.1R</t>
  </si>
  <si>
    <t>1206-RES</t>
  </si>
  <si>
    <t>1206 0.1R 100mR 1%</t>
  </si>
  <si>
    <t>R4</t>
  </si>
  <si>
    <t>NCP15XH103F03RC</t>
  </si>
  <si>
    <t>NCP15XH103F03RC 10K 1%</t>
  </si>
  <si>
    <t>R5</t>
  </si>
  <si>
    <t>3.3K</t>
  </si>
  <si>
    <t>3.3K 1% 0402</t>
  </si>
  <si>
    <t>R9,R10,R13,R16</t>
  </si>
  <si>
    <t>10K</t>
  </si>
  <si>
    <t>10K 1% 0402 (100只)</t>
  </si>
  <si>
    <t>R11,R12</t>
  </si>
  <si>
    <t>120R</t>
  </si>
  <si>
    <t>0402 120R 1% 100个</t>
  </si>
  <si>
    <t>欧贝顿旗舰店</t>
  </si>
  <si>
    <t>R14</t>
  </si>
  <si>
    <t>1.8K</t>
  </si>
  <si>
    <t>0402 1.8K 20mA</t>
  </si>
  <si>
    <t>R15</t>
  </si>
  <si>
    <t>1M</t>
  </si>
  <si>
    <t>0402 1M 0.1% 25ppm</t>
  </si>
  <si>
    <t>R23</t>
  </si>
  <si>
    <t>560K</t>
  </si>
  <si>
    <t>0402贴片电阻1% 560K 562K 576K 590K 604K 619K 620K 634K 1/16W</t>
  </si>
  <si>
    <t>R26</t>
  </si>
  <si>
    <t>93.1K</t>
  </si>
  <si>
    <t xml:space="preserve">0402 93.1K 1% </t>
  </si>
  <si>
    <t>R27</t>
  </si>
  <si>
    <t>13.3K</t>
  </si>
  <si>
    <t>0402 13.3K 1%</t>
  </si>
  <si>
    <t>T1,T2</t>
  </si>
  <si>
    <t>测试点</t>
  </si>
  <si>
    <t>TEST_PT</t>
  </si>
  <si>
    <t>测试点 PC板测试点 镀金陶瓷测试环 电路板测试针厚金3U TEST-1R TEST-1B 蓝色 TEST-1B(蓝色)【50只】1U</t>
  </si>
  <si>
    <t>兴宇乐塑胶旗舰店</t>
  </si>
  <si>
    <t>U1,U2</t>
  </si>
  <si>
    <t>TB67H450FNG</t>
  </si>
  <si>
    <t>SO-8-PAD</t>
  </si>
  <si>
    <t>深圳市圭鑫电子科技</t>
  </si>
  <si>
    <t>U3</t>
  </si>
  <si>
    <t>STM32F103CBT6</t>
  </si>
  <si>
    <t>LQFP-48</t>
  </si>
  <si>
    <t>深圳市卓存电子科技企业店</t>
  </si>
  <si>
    <t>U4</t>
  </si>
  <si>
    <t>TL431IDBZT</t>
  </si>
  <si>
    <t>SOT23-3</t>
  </si>
  <si>
    <t>TL431 SOT-23？？</t>
  </si>
  <si>
    <t>U5</t>
  </si>
  <si>
    <t>SN65HVD232D</t>
  </si>
  <si>
    <t>SO-8</t>
  </si>
  <si>
    <t>SN65HVD232DR SN65HVD232D 收发器芯片 封装SOP8 全新原装</t>
  </si>
  <si>
    <t>深圳市康胜世纪电子企业店</t>
  </si>
  <si>
    <t>U6</t>
  </si>
  <si>
    <t>ME3116</t>
  </si>
  <si>
    <t>SOT23-6</t>
  </si>
  <si>
    <t>ME3116AM6G SOT-23-6输入40V 带载可达1A的DC-DC降压型稳压器</t>
  </si>
  <si>
    <t>深圳市优信电子科技有限公司</t>
  </si>
  <si>
    <t>U7</t>
  </si>
  <si>
    <t>LP2992 3V3</t>
  </si>
  <si>
    <t>SOT23-5</t>
  </si>
  <si>
    <t>原装 LP2992AIM5X-3.3/NOPB 贴片SOT-23-5 低压降稳压器250mA 16V</t>
  </si>
  <si>
    <t>coomiss旗舰店</t>
  </si>
  <si>
    <t>U8</t>
  </si>
  <si>
    <t>MT6816</t>
  </si>
  <si>
    <t>MT6816CT-STD SOP-8位置传感器 磁性角度14位高精角度编码器芯片</t>
  </si>
  <si>
    <t>深圳市新纶电子</t>
  </si>
  <si>
    <t>U11</t>
  </si>
  <si>
    <t>TPS61040DBV</t>
  </si>
  <si>
    <t>全新原装 TPS61040DBVR 丝印PH01 贴片SOT23-5 电源升压芯片IC</t>
  </si>
  <si>
    <t>Y1</t>
  </si>
  <si>
    <t>12MHz</t>
  </si>
  <si>
    <t>晶振-3P</t>
  </si>
  <si>
    <t>CSTNE12M0G520000R0 12MHz 10pF</t>
  </si>
  <si>
    <t>SH1.0-2P</t>
  </si>
  <si>
    <t>Motor-42电路板</t>
    <phoneticPr fontId="1" type="noConversion"/>
  </si>
  <si>
    <t>嘉立创</t>
    <phoneticPr fontId="1" type="noConversion"/>
  </si>
  <si>
    <t>Motor-20电路板</t>
    <phoneticPr fontId="1" type="noConversion"/>
  </si>
  <si>
    <t>合计</t>
    <phoneticPr fontId="1" type="noConversion"/>
  </si>
  <si>
    <t>序号</t>
    <phoneticPr fontId="1" type="noConversion"/>
  </si>
  <si>
    <t>状态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</si>
</sst>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20"/>
      <color theme="1"/>
      <name val="等线"/>
      <family val="2"/>
      <scheme val="minor"/>
    </font>
    <font>
      <sz val="26"/>
      <color theme="1"/>
      <name val="等线"/>
      <family val="2"/>
      <scheme val="minor"/>
    </font>
    <font>
      <sz val="20"/>
      <color theme="1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</fills>
  <borders count="2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</cellXfs>
  <cellStyles count="1">
    <cellStyle name="常规" xfId="0" builtinId="0"/>
  </cellStyles>
  <dxfs count="16">
    <dxf>
      <font>
        <strike val="0"/>
        <outline val="0"/>
        <shadow val="0"/>
        <u val="none"/>
        <vertAlign val="baseline"/>
        <sz val="20"/>
        <color theme="1"/>
        <name val="等线"/>
        <charset val="134"/>
        <scheme val="minor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20"/>
        <color theme="1"/>
        <name val="等线"/>
        <charset val="134"/>
        <scheme val="minor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20"/>
        <color theme="1"/>
        <name val="等线"/>
        <charset val="134"/>
        <scheme val="minor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20"/>
        <color theme="1"/>
        <name val="等线"/>
        <charset val="134"/>
        <scheme val="minor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20"/>
        <color theme="1"/>
        <name val="等线"/>
        <charset val="134"/>
        <scheme val="minor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20"/>
        <color theme="1"/>
        <name val="等线"/>
        <charset val="134"/>
        <scheme val="minor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20"/>
        <color theme="1"/>
        <name val="等线"/>
        <charset val="134"/>
        <scheme val="minor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20"/>
        <color theme="1"/>
        <name val="等线"/>
        <charset val="134"/>
        <scheme val="minor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20"/>
        <color theme="1"/>
        <name val="等线"/>
        <charset val="134"/>
        <scheme val="minor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20"/>
        <color theme="1"/>
        <name val="等线"/>
        <charset val="134"/>
        <scheme val="minor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20"/>
        <color theme="1"/>
        <name val="等线"/>
        <charset val="134"/>
        <scheme val="minor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20"/>
        <color theme="1"/>
        <name val="等线"/>
        <charset val="134"/>
        <scheme val="minor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20"/>
        <color theme="1"/>
        <name val="等线"/>
        <charset val="134"/>
        <scheme val="minor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20"/>
        <color theme="1"/>
        <name val="等线"/>
        <charset val="134"/>
        <scheme val="minor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20"/>
        <color theme="1"/>
        <name val="等线"/>
        <charset val="134"/>
        <scheme val="minor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20"/>
        <color theme="1"/>
        <name val="等线"/>
        <charset val="134"/>
        <scheme val="minor"/>
      </font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11B00EDC-18EF-409A-B027-911367A871E6}" autoFormatId="16" applyNumberFormats="0" applyBorderFormats="0" applyFontFormats="0" applyPatternFormats="0" applyAlignmentFormats="0" applyWidthHeightFormats="0">
  <queryTableRefresh nextId="15" unboundColumnsRight="1">
    <queryTableFields count="14">
      <queryTableField id="1" name="Reference" tableColumnId="1"/>
      <queryTableField id="2" name="Qty" tableColumnId="2"/>
      <queryTableField id="3" name="Value" tableColumnId="3"/>
      <queryTableField id="4" name="DNP" tableColumnId="4"/>
      <queryTableField id="5" name="Exclude from BOM" tableColumnId="5"/>
      <queryTableField id="6" name="Exclude from Board" tableColumnId="6"/>
      <queryTableField id="7" name="Footprint" tableColumnId="7"/>
      <queryTableField id="8" name="Datasheet" tableColumnId="8"/>
      <queryTableField id="9" name="采购数量" tableColumnId="9"/>
      <queryTableField id="10" name="单价" tableColumnId="10"/>
      <queryTableField id="11" name="总价" tableColumnId="11"/>
      <queryTableField id="12" name="列1" tableColumnId="12"/>
      <queryTableField id="13" name="列2" tableColumnId="13"/>
      <queryTableField id="14" dataBound="0" tableColumnId="1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5284B6D-A3CA-4204-B294-9A9A627B1073}" name="Motor_42" displayName="Motor_42" ref="B1:O44" tableType="queryTable" totalsRowShown="0" headerRowDxfId="2" dataDxfId="1">
  <autoFilter ref="B1:O44" xr:uid="{DDA92F07-1E27-4D0D-8E52-531C101C7A12}"/>
  <tableColumns count="14">
    <tableColumn id="1" xr3:uid="{1AE980A1-4BE5-4C5E-8F94-F7FD33714AC1}" uniqueName="1" name="Reference" queryTableFieldId="1" dataDxfId="15"/>
    <tableColumn id="2" xr3:uid="{AAF91CCE-B607-4529-861A-652BA4BCCCF6}" uniqueName="2" name="Qty" queryTableFieldId="2" dataDxfId="14"/>
    <tableColumn id="3" xr3:uid="{BA68C690-0835-4E3A-9638-221E47CABFE0}" uniqueName="3" name="Value" queryTableFieldId="3" dataDxfId="13"/>
    <tableColumn id="4" xr3:uid="{0825B3F4-332A-4D2F-93FB-4A20CCB5F8C0}" uniqueName="4" name="DNP" queryTableFieldId="4" dataDxfId="12"/>
    <tableColumn id="5" xr3:uid="{0E123BDA-5A1A-46BD-B11D-3A9FF0D66F63}" uniqueName="5" name="Exclude from BOM" queryTableFieldId="5" dataDxfId="11"/>
    <tableColumn id="6" xr3:uid="{E0D8AC31-372B-4CA0-AB11-EBA4C3F358B2}" uniqueName="6" name="Exclude from Board" queryTableFieldId="6" dataDxfId="10"/>
    <tableColumn id="7" xr3:uid="{E4A08C8D-F146-42A2-B9DB-19223FB0709F}" uniqueName="7" name="Footprint" queryTableFieldId="7" dataDxfId="9"/>
    <tableColumn id="8" xr3:uid="{60EF6A44-C257-4D04-887E-59533CF580A6}" uniqueName="8" name="Datasheet" queryTableFieldId="8" dataDxfId="8"/>
    <tableColumn id="9" xr3:uid="{BDD187FA-7949-4883-80FF-E85C18C638EA}" uniqueName="9" name="采购数量" queryTableFieldId="9" dataDxfId="7"/>
    <tableColumn id="10" xr3:uid="{06AF81DC-0776-40C6-B844-FB43EA0EDF3F}" uniqueName="10" name="单价" queryTableFieldId="10" dataDxfId="6"/>
    <tableColumn id="11" xr3:uid="{60317022-3129-4F8F-A75E-A2746E31F565}" uniqueName="11" name="总价" queryTableFieldId="11" dataDxfId="5"/>
    <tableColumn id="12" xr3:uid="{BDE8E224-9B78-49FD-95A4-2821884BA503}" uniqueName="12" name="列1" queryTableFieldId="12" dataDxfId="4"/>
    <tableColumn id="13" xr3:uid="{2D306C18-1293-4366-9831-869F11E17F24}" uniqueName="13" name="列2" queryTableFieldId="13" dataDxfId="3"/>
    <tableColumn id="14" xr3:uid="{FFD1B69F-7395-44DC-9A79-76AD31871D16}" uniqueName="14" name="状态" queryTableFieldId="14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38F492-0FA3-4A98-BE1D-72E30BF86FD9}">
  <sheetPr>
    <pageSetUpPr fitToPage="1"/>
  </sheetPr>
  <dimension ref="A1:O44"/>
  <sheetViews>
    <sheetView tabSelected="1" zoomScale="40" zoomScaleNormal="40" workbookViewId="0">
      <selection activeCell="O2" sqref="O2"/>
    </sheetView>
  </sheetViews>
  <sheetFormatPr defaultRowHeight="14" x14ac:dyDescent="0.3"/>
  <cols>
    <col min="2" max="2" width="49.1640625" bestFit="1" customWidth="1"/>
    <col min="3" max="3" width="9.6640625" bestFit="1" customWidth="1"/>
    <col min="4" max="4" width="23.9140625" customWidth="1"/>
    <col min="5" max="5" width="7.08203125" bestFit="1" customWidth="1"/>
    <col min="6" max="6" width="19.25" bestFit="1" customWidth="1"/>
    <col min="7" max="7" width="20" bestFit="1" customWidth="1"/>
    <col min="8" max="8" width="20.5" bestFit="1" customWidth="1"/>
    <col min="9" max="9" width="11.58203125" bestFit="1" customWidth="1"/>
    <col min="10" max="10" width="10.75" bestFit="1" customWidth="1"/>
    <col min="11" max="11" width="15.9140625" bestFit="1" customWidth="1"/>
    <col min="12" max="12" width="13.25" bestFit="1" customWidth="1"/>
    <col min="13" max="13" width="80.6640625" bestFit="1" customWidth="1"/>
    <col min="14" max="14" width="26.08203125" bestFit="1" customWidth="1"/>
  </cols>
  <sheetData>
    <row r="1" spans="1:15" ht="60" customHeight="1" x14ac:dyDescent="0.3">
      <c r="A1" s="3" t="s">
        <v>164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4" t="s">
        <v>165</v>
      </c>
    </row>
    <row r="2" spans="1:15" ht="60" customHeight="1" x14ac:dyDescent="0.3">
      <c r="A2" s="3">
        <v>1</v>
      </c>
      <c r="B2" s="2" t="s">
        <v>13</v>
      </c>
      <c r="C2" s="2">
        <v>120</v>
      </c>
      <c r="D2" s="2" t="s">
        <v>14</v>
      </c>
      <c r="E2" s="2" t="s">
        <v>15</v>
      </c>
      <c r="F2" s="2" t="s">
        <v>15</v>
      </c>
      <c r="G2" s="2" t="s">
        <v>15</v>
      </c>
      <c r="H2" s="2" t="s">
        <v>16</v>
      </c>
      <c r="I2" s="2" t="s">
        <v>15</v>
      </c>
      <c r="J2" s="2">
        <v>100</v>
      </c>
      <c r="K2" s="2">
        <v>2.3E-2</v>
      </c>
      <c r="L2" s="2">
        <f>Motor_42[[#This Row],[采购数量]]*Motor_42[[#This Row],[单价]]</f>
        <v>2.2999999999999998</v>
      </c>
      <c r="M2" s="2" t="s">
        <v>17</v>
      </c>
      <c r="N2" s="2" t="s">
        <v>18</v>
      </c>
      <c r="O2" s="4"/>
    </row>
    <row r="3" spans="1:15" ht="60" customHeight="1" x14ac:dyDescent="0.3">
      <c r="A3" s="3">
        <v>2</v>
      </c>
      <c r="B3" s="2" t="s">
        <v>19</v>
      </c>
      <c r="C3" s="2">
        <v>56</v>
      </c>
      <c r="D3" s="2" t="s">
        <v>20</v>
      </c>
      <c r="E3" s="2" t="s">
        <v>15</v>
      </c>
      <c r="F3" s="2" t="s">
        <v>15</v>
      </c>
      <c r="G3" s="2" t="s">
        <v>15</v>
      </c>
      <c r="H3" s="2" t="s">
        <v>16</v>
      </c>
      <c r="I3" s="2" t="s">
        <v>15</v>
      </c>
      <c r="J3" s="2">
        <v>100</v>
      </c>
      <c r="K3" s="2">
        <v>0.05</v>
      </c>
      <c r="L3" s="2">
        <f>Motor_42[[#This Row],[采购数量]]*Motor_42[[#This Row],[单价]]</f>
        <v>5</v>
      </c>
      <c r="M3" s="2" t="s">
        <v>21</v>
      </c>
      <c r="N3" s="2" t="s">
        <v>18</v>
      </c>
      <c r="O3" s="4"/>
    </row>
    <row r="4" spans="1:15" ht="60" customHeight="1" x14ac:dyDescent="0.3">
      <c r="A4" s="3">
        <v>3</v>
      </c>
      <c r="B4" s="2" t="s">
        <v>22</v>
      </c>
      <c r="C4" s="2">
        <v>32</v>
      </c>
      <c r="D4" s="2" t="s">
        <v>23</v>
      </c>
      <c r="E4" s="2" t="s">
        <v>15</v>
      </c>
      <c r="F4" s="2" t="s">
        <v>15</v>
      </c>
      <c r="G4" s="2" t="s">
        <v>15</v>
      </c>
      <c r="H4" s="2" t="s">
        <v>24</v>
      </c>
      <c r="I4" s="2" t="s">
        <v>15</v>
      </c>
      <c r="J4" s="2">
        <v>40</v>
      </c>
      <c r="K4" s="2">
        <v>0.55000000000000004</v>
      </c>
      <c r="L4" s="2">
        <f>Motor_42[[#This Row],[采购数量]]*Motor_42[[#This Row],[单价]]</f>
        <v>22</v>
      </c>
      <c r="M4" s="2" t="s">
        <v>25</v>
      </c>
      <c r="N4" s="2" t="s">
        <v>26</v>
      </c>
      <c r="O4" s="4"/>
    </row>
    <row r="5" spans="1:15" ht="60" customHeight="1" x14ac:dyDescent="0.3">
      <c r="A5" s="3">
        <v>4</v>
      </c>
      <c r="B5" s="2" t="s">
        <v>27</v>
      </c>
      <c r="C5" s="2">
        <v>8</v>
      </c>
      <c r="D5" s="2" t="s">
        <v>28</v>
      </c>
      <c r="E5" s="2" t="s">
        <v>15</v>
      </c>
      <c r="F5" s="2" t="s">
        <v>15</v>
      </c>
      <c r="G5" s="2" t="s">
        <v>15</v>
      </c>
      <c r="H5" s="2" t="s">
        <v>16</v>
      </c>
      <c r="I5" s="2" t="s">
        <v>15</v>
      </c>
      <c r="J5" s="2">
        <v>100</v>
      </c>
      <c r="K5" s="2">
        <v>1.9E-2</v>
      </c>
      <c r="L5" s="2">
        <f>Motor_42[[#This Row],[采购数量]]*Motor_42[[#This Row],[单价]]</f>
        <v>1.9</v>
      </c>
      <c r="M5" s="2" t="s">
        <v>29</v>
      </c>
      <c r="N5" s="2" t="s">
        <v>18</v>
      </c>
      <c r="O5" s="4"/>
    </row>
    <row r="6" spans="1:15" ht="60" customHeight="1" x14ac:dyDescent="0.3">
      <c r="A6" s="3">
        <v>5</v>
      </c>
      <c r="B6" s="2" t="s">
        <v>30</v>
      </c>
      <c r="C6" s="2">
        <v>8</v>
      </c>
      <c r="D6" s="2" t="s">
        <v>31</v>
      </c>
      <c r="E6" s="2" t="s">
        <v>15</v>
      </c>
      <c r="F6" s="2" t="s">
        <v>15</v>
      </c>
      <c r="G6" s="2" t="s">
        <v>15</v>
      </c>
      <c r="H6" s="2" t="s">
        <v>16</v>
      </c>
      <c r="I6" s="2" t="s">
        <v>15</v>
      </c>
      <c r="J6" s="2">
        <v>100</v>
      </c>
      <c r="K6" s="2">
        <v>3.2000000000000001E-2</v>
      </c>
      <c r="L6" s="2">
        <f>Motor_42[[#This Row],[采购数量]]*Motor_42[[#This Row],[单价]]</f>
        <v>3.2</v>
      </c>
      <c r="M6" s="2" t="s">
        <v>32</v>
      </c>
      <c r="N6" s="2" t="s">
        <v>33</v>
      </c>
      <c r="O6" s="4"/>
    </row>
    <row r="7" spans="1:15" ht="60" customHeight="1" x14ac:dyDescent="0.3">
      <c r="A7" s="3">
        <v>6</v>
      </c>
      <c r="B7" s="2" t="s">
        <v>34</v>
      </c>
      <c r="C7" s="2">
        <v>8</v>
      </c>
      <c r="D7" s="2" t="s">
        <v>35</v>
      </c>
      <c r="E7" s="2" t="s">
        <v>15</v>
      </c>
      <c r="F7" s="2" t="s">
        <v>15</v>
      </c>
      <c r="G7" s="2" t="s">
        <v>15</v>
      </c>
      <c r="H7" s="2" t="s">
        <v>16</v>
      </c>
      <c r="I7" s="2" t="s">
        <v>15</v>
      </c>
      <c r="J7" s="2">
        <v>100</v>
      </c>
      <c r="K7" s="2">
        <v>1.9E-2</v>
      </c>
      <c r="L7" s="2">
        <f>Motor_42[[#This Row],[采购数量]]*Motor_42[[#This Row],[单价]]</f>
        <v>1.9</v>
      </c>
      <c r="M7" s="2" t="s">
        <v>36</v>
      </c>
      <c r="N7" s="2" t="s">
        <v>18</v>
      </c>
      <c r="O7" s="4"/>
    </row>
    <row r="8" spans="1:15" ht="60" customHeight="1" x14ac:dyDescent="0.3">
      <c r="A8" s="3">
        <v>7</v>
      </c>
      <c r="B8" s="2" t="s">
        <v>37</v>
      </c>
      <c r="C8" s="2">
        <v>8</v>
      </c>
      <c r="D8" s="2" t="s">
        <v>38</v>
      </c>
      <c r="E8" s="2" t="s">
        <v>15</v>
      </c>
      <c r="F8" s="2" t="s">
        <v>15</v>
      </c>
      <c r="G8" s="2" t="s">
        <v>15</v>
      </c>
      <c r="H8" s="2" t="s">
        <v>16</v>
      </c>
      <c r="I8" s="2" t="s">
        <v>15</v>
      </c>
      <c r="J8" s="2">
        <v>100</v>
      </c>
      <c r="K8" s="2">
        <v>0.04</v>
      </c>
      <c r="L8" s="2">
        <f>Motor_42[[#This Row],[采购数量]]*Motor_42[[#This Row],[单价]]</f>
        <v>4</v>
      </c>
      <c r="M8" s="2" t="s">
        <v>39</v>
      </c>
      <c r="N8" s="2" t="s">
        <v>18</v>
      </c>
      <c r="O8" s="4"/>
    </row>
    <row r="9" spans="1:15" ht="60" customHeight="1" x14ac:dyDescent="0.3">
      <c r="A9" s="3">
        <v>8</v>
      </c>
      <c r="B9" s="2" t="s">
        <v>40</v>
      </c>
      <c r="C9" s="2">
        <v>8</v>
      </c>
      <c r="D9" s="2" t="s">
        <v>41</v>
      </c>
      <c r="E9" s="2" t="s">
        <v>15</v>
      </c>
      <c r="F9" s="2" t="s">
        <v>15</v>
      </c>
      <c r="G9" s="2" t="s">
        <v>15</v>
      </c>
      <c r="H9" s="2" t="s">
        <v>42</v>
      </c>
      <c r="I9" s="2" t="s">
        <v>15</v>
      </c>
      <c r="J9" s="2">
        <v>20</v>
      </c>
      <c r="K9" s="2">
        <v>0.1</v>
      </c>
      <c r="L9" s="2">
        <f>Motor_42[[#This Row],[采购数量]]*Motor_42[[#This Row],[单价]]</f>
        <v>2</v>
      </c>
      <c r="M9" s="2" t="s">
        <v>15</v>
      </c>
      <c r="N9" s="2" t="s">
        <v>43</v>
      </c>
      <c r="O9" s="4"/>
    </row>
    <row r="10" spans="1:15" ht="60" customHeight="1" x14ac:dyDescent="0.3">
      <c r="A10" s="3">
        <v>9</v>
      </c>
      <c r="B10" s="2" t="s">
        <v>44</v>
      </c>
      <c r="C10" s="2">
        <v>8</v>
      </c>
      <c r="D10" s="2" t="s">
        <v>45</v>
      </c>
      <c r="E10" s="2" t="s">
        <v>15</v>
      </c>
      <c r="F10" s="2" t="s">
        <v>15</v>
      </c>
      <c r="G10" s="2" t="s">
        <v>15</v>
      </c>
      <c r="H10" s="2" t="s">
        <v>46</v>
      </c>
      <c r="I10" s="2" t="s">
        <v>15</v>
      </c>
      <c r="J10" s="2">
        <v>20</v>
      </c>
      <c r="K10" s="2">
        <v>0.2</v>
      </c>
      <c r="L10" s="2">
        <f>Motor_42[[#This Row],[采购数量]]*Motor_42[[#This Row],[单价]]</f>
        <v>4</v>
      </c>
      <c r="M10" s="2" t="s">
        <v>47</v>
      </c>
      <c r="N10" s="2" t="s">
        <v>18</v>
      </c>
      <c r="O10" s="4"/>
    </row>
    <row r="11" spans="1:15" ht="60" customHeight="1" x14ac:dyDescent="0.3">
      <c r="A11" s="3">
        <v>10</v>
      </c>
      <c r="B11" s="2" t="s">
        <v>48</v>
      </c>
      <c r="C11" s="2">
        <v>16</v>
      </c>
      <c r="D11" s="2" t="s">
        <v>49</v>
      </c>
      <c r="E11" s="2" t="s">
        <v>15</v>
      </c>
      <c r="F11" s="2" t="s">
        <v>15</v>
      </c>
      <c r="G11" s="2" t="s">
        <v>15</v>
      </c>
      <c r="H11" s="2" t="s">
        <v>50</v>
      </c>
      <c r="I11" s="2" t="s">
        <v>15</v>
      </c>
      <c r="J11" s="2">
        <v>50</v>
      </c>
      <c r="K11" s="2">
        <v>0.08</v>
      </c>
      <c r="L11" s="2">
        <f>Motor_42[[#This Row],[采购数量]]*Motor_42[[#This Row],[单价]]</f>
        <v>4</v>
      </c>
      <c r="M11" s="2" t="s">
        <v>51</v>
      </c>
      <c r="N11" s="2" t="s">
        <v>18</v>
      </c>
      <c r="O11" s="4"/>
    </row>
    <row r="12" spans="1:15" ht="60" customHeight="1" x14ac:dyDescent="0.3">
      <c r="A12" s="3">
        <v>11</v>
      </c>
      <c r="B12" s="2" t="s">
        <v>52</v>
      </c>
      <c r="C12" s="2">
        <v>8</v>
      </c>
      <c r="D12" s="2" t="s">
        <v>53</v>
      </c>
      <c r="E12" s="2" t="s">
        <v>15</v>
      </c>
      <c r="F12" s="2" t="s">
        <v>15</v>
      </c>
      <c r="G12" s="2" t="s">
        <v>15</v>
      </c>
      <c r="H12" s="2" t="s">
        <v>50</v>
      </c>
      <c r="I12" s="2" t="s">
        <v>15</v>
      </c>
      <c r="J12" s="2">
        <v>100</v>
      </c>
      <c r="K12" s="2">
        <v>0.02</v>
      </c>
      <c r="L12" s="2">
        <f>Motor_42[[#This Row],[采购数量]]*Motor_42[[#This Row],[单价]]</f>
        <v>2</v>
      </c>
      <c r="M12" s="2" t="s">
        <v>54</v>
      </c>
      <c r="N12" s="2" t="s">
        <v>55</v>
      </c>
      <c r="O12" s="4"/>
    </row>
    <row r="13" spans="1:15" ht="60" customHeight="1" x14ac:dyDescent="0.3">
      <c r="A13" s="3">
        <v>12</v>
      </c>
      <c r="B13" s="2" t="s">
        <v>56</v>
      </c>
      <c r="C13" s="2">
        <v>8</v>
      </c>
      <c r="D13" s="2" t="s">
        <v>57</v>
      </c>
      <c r="E13" s="2" t="s">
        <v>15</v>
      </c>
      <c r="F13" s="2" t="s">
        <v>15</v>
      </c>
      <c r="G13" s="2" t="s">
        <v>15</v>
      </c>
      <c r="H13" s="2" t="s">
        <v>58</v>
      </c>
      <c r="I13" s="2" t="s">
        <v>15</v>
      </c>
      <c r="J13" s="2">
        <v>16</v>
      </c>
      <c r="K13" s="2">
        <v>0</v>
      </c>
      <c r="L13" s="2">
        <f>Motor_42[[#This Row],[采购数量]]*Motor_42[[#This Row],[单价]]</f>
        <v>0</v>
      </c>
      <c r="M13" s="2" t="s">
        <v>15</v>
      </c>
      <c r="N13" s="2" t="s">
        <v>15</v>
      </c>
      <c r="O13" s="4"/>
    </row>
    <row r="14" spans="1:15" ht="60" customHeight="1" x14ac:dyDescent="0.3">
      <c r="A14" s="3">
        <v>13</v>
      </c>
      <c r="B14" s="2" t="s">
        <v>59</v>
      </c>
      <c r="C14" s="2">
        <v>16</v>
      </c>
      <c r="D14" s="2" t="s">
        <v>60</v>
      </c>
      <c r="E14" s="2" t="s">
        <v>15</v>
      </c>
      <c r="F14" s="2" t="s">
        <v>15</v>
      </c>
      <c r="G14" s="2" t="s">
        <v>15</v>
      </c>
      <c r="H14" s="2" t="s">
        <v>61</v>
      </c>
      <c r="I14" s="2" t="s">
        <v>15</v>
      </c>
      <c r="J14" s="2">
        <v>100</v>
      </c>
      <c r="K14" s="2">
        <v>0.13370000000000001</v>
      </c>
      <c r="L14" s="2">
        <f>Motor_42[[#This Row],[采购数量]]*Motor_42[[#This Row],[单价]]</f>
        <v>13.370000000000001</v>
      </c>
      <c r="M14" s="2" t="s">
        <v>62</v>
      </c>
      <c r="N14" s="2" t="s">
        <v>63</v>
      </c>
      <c r="O14" s="4"/>
    </row>
    <row r="15" spans="1:15" ht="60" customHeight="1" x14ac:dyDescent="0.3">
      <c r="A15" s="3">
        <v>14</v>
      </c>
      <c r="B15" s="2" t="s">
        <v>64</v>
      </c>
      <c r="C15" s="2">
        <v>8</v>
      </c>
      <c r="D15" s="2" t="s">
        <v>65</v>
      </c>
      <c r="E15" s="2" t="s">
        <v>15</v>
      </c>
      <c r="F15" s="2" t="s">
        <v>15</v>
      </c>
      <c r="G15" s="2" t="s">
        <v>15</v>
      </c>
      <c r="H15" s="2" t="s">
        <v>66</v>
      </c>
      <c r="I15" s="2" t="s">
        <v>15</v>
      </c>
      <c r="J15" s="2">
        <v>10</v>
      </c>
      <c r="K15" s="2">
        <v>0.20399999999999999</v>
      </c>
      <c r="L15" s="2">
        <f>Motor_42[[#This Row],[采购数量]]*Motor_42[[#This Row],[单价]]</f>
        <v>2.04</v>
      </c>
      <c r="M15" s="2" t="s">
        <v>67</v>
      </c>
      <c r="N15" s="2" t="s">
        <v>68</v>
      </c>
      <c r="O15" s="4"/>
    </row>
    <row r="16" spans="1:15" ht="60" customHeight="1" x14ac:dyDescent="0.3">
      <c r="A16" s="3">
        <v>15</v>
      </c>
      <c r="B16" s="2" t="s">
        <v>69</v>
      </c>
      <c r="C16" s="2">
        <v>8</v>
      </c>
      <c r="D16" s="2" t="s">
        <v>70</v>
      </c>
      <c r="E16" s="2" t="s">
        <v>15</v>
      </c>
      <c r="F16" s="2" t="s">
        <v>15</v>
      </c>
      <c r="G16" s="2" t="s">
        <v>15</v>
      </c>
      <c r="H16" s="2" t="s">
        <v>71</v>
      </c>
      <c r="I16" s="2" t="s">
        <v>15</v>
      </c>
      <c r="J16" s="2">
        <v>20</v>
      </c>
      <c r="K16" s="2">
        <v>0.4</v>
      </c>
      <c r="L16" s="2">
        <f>Motor_42[[#This Row],[采购数量]]*Motor_42[[#This Row],[单价]]</f>
        <v>8</v>
      </c>
      <c r="M16" s="2" t="s">
        <v>72</v>
      </c>
      <c r="N16" s="2" t="s">
        <v>18</v>
      </c>
      <c r="O16" s="4"/>
    </row>
    <row r="17" spans="1:15" ht="60" customHeight="1" x14ac:dyDescent="0.3">
      <c r="A17" s="3">
        <v>16</v>
      </c>
      <c r="B17" s="2" t="s">
        <v>73</v>
      </c>
      <c r="C17" s="2">
        <v>8</v>
      </c>
      <c r="D17" s="2" t="s">
        <v>74</v>
      </c>
      <c r="E17" s="2" t="s">
        <v>15</v>
      </c>
      <c r="F17" s="2" t="s">
        <v>15</v>
      </c>
      <c r="G17" s="2" t="s">
        <v>15</v>
      </c>
      <c r="H17" s="2" t="s">
        <v>74</v>
      </c>
      <c r="I17" s="2" t="s">
        <v>15</v>
      </c>
      <c r="J17" s="2">
        <v>30</v>
      </c>
      <c r="K17" s="2">
        <v>0.06</v>
      </c>
      <c r="L17" s="2">
        <f>Motor_42[[#This Row],[采购数量]]*Motor_42[[#This Row],[单价]]</f>
        <v>1.7999999999999998</v>
      </c>
      <c r="M17" s="2" t="s">
        <v>75</v>
      </c>
      <c r="N17" s="2" t="s">
        <v>43</v>
      </c>
      <c r="O17" s="4"/>
    </row>
    <row r="18" spans="1:15" ht="60" customHeight="1" x14ac:dyDescent="0.3">
      <c r="A18" s="3">
        <v>17</v>
      </c>
      <c r="B18" s="2" t="s">
        <v>76</v>
      </c>
      <c r="C18" s="2">
        <v>24</v>
      </c>
      <c r="D18" s="2" t="s">
        <v>77</v>
      </c>
      <c r="E18" s="2" t="s">
        <v>15</v>
      </c>
      <c r="F18" s="2" t="s">
        <v>15</v>
      </c>
      <c r="G18" s="2" t="s">
        <v>15</v>
      </c>
      <c r="H18" s="2" t="s">
        <v>77</v>
      </c>
      <c r="I18" s="2" t="s">
        <v>15</v>
      </c>
      <c r="J18" s="2">
        <v>30</v>
      </c>
      <c r="K18" s="2">
        <v>7.0000000000000007E-2</v>
      </c>
      <c r="L18" s="2">
        <f>Motor_42[[#This Row],[采购数量]]*Motor_42[[#This Row],[单价]]</f>
        <v>2.1</v>
      </c>
      <c r="M18" s="2" t="s">
        <v>75</v>
      </c>
      <c r="N18" s="2" t="s">
        <v>43</v>
      </c>
      <c r="O18" s="4"/>
    </row>
    <row r="19" spans="1:15" ht="60" customHeight="1" x14ac:dyDescent="0.3">
      <c r="A19" s="3">
        <v>18</v>
      </c>
      <c r="B19" s="2" t="s">
        <v>78</v>
      </c>
      <c r="C19" s="2">
        <v>8</v>
      </c>
      <c r="D19" s="2" t="s">
        <v>79</v>
      </c>
      <c r="E19" s="2" t="s">
        <v>15</v>
      </c>
      <c r="F19" s="2" t="s">
        <v>15</v>
      </c>
      <c r="G19" s="2" t="s">
        <v>15</v>
      </c>
      <c r="H19" s="2" t="s">
        <v>79</v>
      </c>
      <c r="I19" s="2" t="s">
        <v>15</v>
      </c>
      <c r="J19" s="2">
        <v>30</v>
      </c>
      <c r="K19" s="2">
        <v>0.04</v>
      </c>
      <c r="L19" s="2">
        <f>Motor_42[[#This Row],[采购数量]]*Motor_42[[#This Row],[单价]]</f>
        <v>1.2</v>
      </c>
      <c r="M19" s="2" t="s">
        <v>75</v>
      </c>
      <c r="N19" s="2" t="s">
        <v>43</v>
      </c>
      <c r="O19" s="4"/>
    </row>
    <row r="20" spans="1:15" ht="60" customHeight="1" x14ac:dyDescent="0.3">
      <c r="A20" s="3">
        <v>19</v>
      </c>
      <c r="B20" s="2" t="s">
        <v>80</v>
      </c>
      <c r="C20" s="2">
        <v>40</v>
      </c>
      <c r="D20" s="2" t="s">
        <v>81</v>
      </c>
      <c r="E20" s="2" t="s">
        <v>15</v>
      </c>
      <c r="F20" s="2" t="s">
        <v>15</v>
      </c>
      <c r="G20" s="2" t="s">
        <v>15</v>
      </c>
      <c r="H20" s="2" t="s">
        <v>82</v>
      </c>
      <c r="I20" s="2" t="s">
        <v>15</v>
      </c>
      <c r="J20" s="2">
        <v>40</v>
      </c>
      <c r="K20" s="2">
        <v>0.16</v>
      </c>
      <c r="L20" s="2">
        <f>Motor_42[[#This Row],[采购数量]]*Motor_42[[#This Row],[单价]]</f>
        <v>6.4</v>
      </c>
      <c r="M20" s="2" t="s">
        <v>83</v>
      </c>
      <c r="N20" s="2" t="s">
        <v>18</v>
      </c>
      <c r="O20" s="4"/>
    </row>
    <row r="21" spans="1:15" ht="60" customHeight="1" x14ac:dyDescent="0.3">
      <c r="A21" s="3">
        <v>20</v>
      </c>
      <c r="B21" s="2" t="s">
        <v>84</v>
      </c>
      <c r="C21" s="2">
        <v>16</v>
      </c>
      <c r="D21" s="2" t="s">
        <v>85</v>
      </c>
      <c r="E21" s="2" t="s">
        <v>15</v>
      </c>
      <c r="F21" s="2" t="s">
        <v>15</v>
      </c>
      <c r="G21" s="2" t="s">
        <v>15</v>
      </c>
      <c r="H21" s="2" t="s">
        <v>86</v>
      </c>
      <c r="I21" s="2" t="s">
        <v>15</v>
      </c>
      <c r="J21" s="2">
        <v>50</v>
      </c>
      <c r="K21" s="2">
        <v>5.6000000000000001E-2</v>
      </c>
      <c r="L21" s="2">
        <f>Motor_42[[#This Row],[采购数量]]*Motor_42[[#This Row],[单价]]</f>
        <v>2.8000000000000003</v>
      </c>
      <c r="M21" s="2" t="s">
        <v>87</v>
      </c>
      <c r="N21" s="2" t="s">
        <v>18</v>
      </c>
      <c r="O21" s="4"/>
    </row>
    <row r="22" spans="1:15" ht="60" customHeight="1" x14ac:dyDescent="0.3">
      <c r="A22" s="3">
        <v>21</v>
      </c>
      <c r="B22" s="2" t="s">
        <v>88</v>
      </c>
      <c r="C22" s="2">
        <v>8</v>
      </c>
      <c r="D22" s="2" t="s">
        <v>89</v>
      </c>
      <c r="E22" s="2" t="s">
        <v>15</v>
      </c>
      <c r="F22" s="2" t="s">
        <v>15</v>
      </c>
      <c r="G22" s="2" t="s">
        <v>15</v>
      </c>
      <c r="H22" s="2" t="s">
        <v>82</v>
      </c>
      <c r="I22" s="2" t="s">
        <v>15</v>
      </c>
      <c r="J22" s="2">
        <v>50</v>
      </c>
      <c r="K22" s="2">
        <v>0.09</v>
      </c>
      <c r="L22" s="2">
        <f>Motor_42[[#This Row],[采购数量]]*Motor_42[[#This Row],[单价]]</f>
        <v>4.5</v>
      </c>
      <c r="M22" s="2" t="s">
        <v>90</v>
      </c>
      <c r="N22" s="2" t="s">
        <v>18</v>
      </c>
      <c r="O22" s="4"/>
    </row>
    <row r="23" spans="1:15" ht="60" customHeight="1" x14ac:dyDescent="0.3">
      <c r="A23" s="3">
        <v>22</v>
      </c>
      <c r="B23" s="2" t="s">
        <v>91</v>
      </c>
      <c r="C23" s="2">
        <v>8</v>
      </c>
      <c r="D23" s="2" t="s">
        <v>92</v>
      </c>
      <c r="E23" s="2" t="s">
        <v>15</v>
      </c>
      <c r="F23" s="2" t="s">
        <v>15</v>
      </c>
      <c r="G23" s="2" t="s">
        <v>15</v>
      </c>
      <c r="H23" s="2" t="s">
        <v>82</v>
      </c>
      <c r="I23" s="2" t="s">
        <v>15</v>
      </c>
      <c r="J23" s="2">
        <v>100</v>
      </c>
      <c r="K23" s="2">
        <v>1.4999999999999999E-2</v>
      </c>
      <c r="L23" s="2">
        <f>Motor_42[[#This Row],[采购数量]]*Motor_42[[#This Row],[单价]]</f>
        <v>1.5</v>
      </c>
      <c r="M23" s="2" t="s">
        <v>93</v>
      </c>
      <c r="N23" s="2" t="s">
        <v>18</v>
      </c>
      <c r="O23" s="4"/>
    </row>
    <row r="24" spans="1:15" ht="60" customHeight="1" x14ac:dyDescent="0.3">
      <c r="A24" s="3">
        <v>23</v>
      </c>
      <c r="B24" s="2" t="s">
        <v>94</v>
      </c>
      <c r="C24" s="2">
        <v>32</v>
      </c>
      <c r="D24" s="2" t="s">
        <v>95</v>
      </c>
      <c r="E24" s="2" t="s">
        <v>15</v>
      </c>
      <c r="F24" s="2" t="s">
        <v>15</v>
      </c>
      <c r="G24" s="2" t="s">
        <v>15</v>
      </c>
      <c r="H24" s="2" t="s">
        <v>82</v>
      </c>
      <c r="I24" s="2" t="s">
        <v>15</v>
      </c>
      <c r="J24" s="2">
        <v>100</v>
      </c>
      <c r="K24" s="2">
        <v>1.4999999999999999E-2</v>
      </c>
      <c r="L24" s="2">
        <f>Motor_42[[#This Row],[采购数量]]*Motor_42[[#This Row],[单价]]</f>
        <v>1.5</v>
      </c>
      <c r="M24" s="2" t="s">
        <v>96</v>
      </c>
      <c r="N24" s="2" t="s">
        <v>18</v>
      </c>
      <c r="O24" s="4"/>
    </row>
    <row r="25" spans="1:15" ht="60" customHeight="1" x14ac:dyDescent="0.3">
      <c r="A25" s="3">
        <v>24</v>
      </c>
      <c r="B25" s="2" t="s">
        <v>97</v>
      </c>
      <c r="C25" s="2">
        <v>16</v>
      </c>
      <c r="D25" s="2" t="s">
        <v>98</v>
      </c>
      <c r="E25" s="2" t="s">
        <v>15</v>
      </c>
      <c r="F25" s="2" t="s">
        <v>15</v>
      </c>
      <c r="G25" s="2" t="s">
        <v>15</v>
      </c>
      <c r="H25" s="2" t="s">
        <v>82</v>
      </c>
      <c r="I25" s="2" t="s">
        <v>15</v>
      </c>
      <c r="J25" s="2">
        <v>100</v>
      </c>
      <c r="K25" s="2">
        <v>0.02</v>
      </c>
      <c r="L25" s="2">
        <f>Motor_42[[#This Row],[采购数量]]*Motor_42[[#This Row],[单价]]</f>
        <v>2</v>
      </c>
      <c r="M25" s="2" t="s">
        <v>99</v>
      </c>
      <c r="N25" s="2" t="s">
        <v>100</v>
      </c>
      <c r="O25" s="4"/>
    </row>
    <row r="26" spans="1:15" ht="60" customHeight="1" x14ac:dyDescent="0.3">
      <c r="A26" s="3">
        <v>25</v>
      </c>
      <c r="B26" s="2" t="s">
        <v>101</v>
      </c>
      <c r="C26" s="2">
        <v>8</v>
      </c>
      <c r="D26" s="2" t="s">
        <v>102</v>
      </c>
      <c r="E26" s="2" t="s">
        <v>15</v>
      </c>
      <c r="F26" s="2" t="s">
        <v>15</v>
      </c>
      <c r="G26" s="2" t="s">
        <v>15</v>
      </c>
      <c r="H26" s="2" t="s">
        <v>82</v>
      </c>
      <c r="I26" s="2" t="s">
        <v>15</v>
      </c>
      <c r="J26" s="2">
        <v>100</v>
      </c>
      <c r="K26" s="2">
        <v>0.06</v>
      </c>
      <c r="L26" s="2">
        <f>Motor_42[[#This Row],[采购数量]]*Motor_42[[#This Row],[单价]]</f>
        <v>6</v>
      </c>
      <c r="M26" s="2" t="s">
        <v>103</v>
      </c>
      <c r="N26" s="2" t="s">
        <v>18</v>
      </c>
      <c r="O26" s="4"/>
    </row>
    <row r="27" spans="1:15" ht="60" customHeight="1" x14ac:dyDescent="0.3">
      <c r="A27" s="3">
        <v>26</v>
      </c>
      <c r="B27" s="2" t="s">
        <v>104</v>
      </c>
      <c r="C27" s="2">
        <v>8</v>
      </c>
      <c r="D27" s="2" t="s">
        <v>105</v>
      </c>
      <c r="E27" s="2" t="s">
        <v>15</v>
      </c>
      <c r="F27" s="2" t="s">
        <v>15</v>
      </c>
      <c r="G27" s="2" t="s">
        <v>15</v>
      </c>
      <c r="H27" s="2" t="s">
        <v>82</v>
      </c>
      <c r="I27" s="2" t="s">
        <v>15</v>
      </c>
      <c r="J27" s="2">
        <v>20</v>
      </c>
      <c r="K27" s="2">
        <v>0.16</v>
      </c>
      <c r="L27" s="2">
        <f>Motor_42[[#This Row],[采购数量]]*Motor_42[[#This Row],[单价]]</f>
        <v>3.2</v>
      </c>
      <c r="M27" s="2" t="s">
        <v>106</v>
      </c>
      <c r="N27" s="2" t="s">
        <v>18</v>
      </c>
      <c r="O27" s="4"/>
    </row>
    <row r="28" spans="1:15" ht="60" customHeight="1" x14ac:dyDescent="0.3">
      <c r="A28" s="3">
        <v>27</v>
      </c>
      <c r="B28" s="2" t="s">
        <v>107</v>
      </c>
      <c r="C28" s="2">
        <v>8</v>
      </c>
      <c r="D28" s="2" t="s">
        <v>108</v>
      </c>
      <c r="E28" s="2" t="s">
        <v>15</v>
      </c>
      <c r="F28" s="2" t="s">
        <v>15</v>
      </c>
      <c r="G28" s="2" t="s">
        <v>15</v>
      </c>
      <c r="H28" s="2" t="s">
        <v>82</v>
      </c>
      <c r="I28" s="2" t="s">
        <v>15</v>
      </c>
      <c r="J28" s="2">
        <v>16</v>
      </c>
      <c r="K28" s="2">
        <v>0.25</v>
      </c>
      <c r="L28" s="2">
        <f>Motor_42[[#This Row],[采购数量]]*Motor_42[[#This Row],[单价]]</f>
        <v>4</v>
      </c>
      <c r="M28" s="2" t="s">
        <v>109</v>
      </c>
      <c r="N28" s="2" t="s">
        <v>100</v>
      </c>
      <c r="O28" s="4"/>
    </row>
    <row r="29" spans="1:15" ht="60" customHeight="1" x14ac:dyDescent="0.3">
      <c r="A29" s="3">
        <v>28</v>
      </c>
      <c r="B29" s="2" t="s">
        <v>110</v>
      </c>
      <c r="C29" s="2">
        <v>8</v>
      </c>
      <c r="D29" s="2" t="s">
        <v>111</v>
      </c>
      <c r="E29" s="2" t="s">
        <v>15</v>
      </c>
      <c r="F29" s="2" t="s">
        <v>15</v>
      </c>
      <c r="G29" s="2" t="s">
        <v>15</v>
      </c>
      <c r="H29" s="2" t="s">
        <v>82</v>
      </c>
      <c r="I29" s="2" t="s">
        <v>15</v>
      </c>
      <c r="J29" s="2">
        <v>100</v>
      </c>
      <c r="K29" s="2">
        <v>0.02</v>
      </c>
      <c r="L29" s="2">
        <f>Motor_42[[#This Row],[采购数量]]*Motor_42[[#This Row],[单价]]</f>
        <v>2</v>
      </c>
      <c r="M29" s="2" t="s">
        <v>112</v>
      </c>
      <c r="N29" s="2" t="s">
        <v>100</v>
      </c>
      <c r="O29" s="4"/>
    </row>
    <row r="30" spans="1:15" ht="60" customHeight="1" x14ac:dyDescent="0.3">
      <c r="A30" s="3">
        <v>29</v>
      </c>
      <c r="B30" s="2" t="s">
        <v>113</v>
      </c>
      <c r="C30" s="2">
        <v>8</v>
      </c>
      <c r="D30" s="2" t="s">
        <v>114</v>
      </c>
      <c r="E30" s="2" t="s">
        <v>15</v>
      </c>
      <c r="F30" s="2" t="s">
        <v>15</v>
      </c>
      <c r="G30" s="2" t="s">
        <v>15</v>
      </c>
      <c r="H30" s="2" t="s">
        <v>82</v>
      </c>
      <c r="I30" s="2" t="s">
        <v>15</v>
      </c>
      <c r="J30" s="2">
        <v>100</v>
      </c>
      <c r="K30" s="2">
        <v>0.02</v>
      </c>
      <c r="L30" s="2">
        <f>Motor_42[[#This Row],[采购数量]]*Motor_42[[#This Row],[单价]]</f>
        <v>2</v>
      </c>
      <c r="M30" s="2" t="s">
        <v>115</v>
      </c>
      <c r="N30" s="2" t="s">
        <v>100</v>
      </c>
      <c r="O30" s="4"/>
    </row>
    <row r="31" spans="1:15" ht="60" customHeight="1" x14ac:dyDescent="0.3">
      <c r="A31" s="3">
        <v>30</v>
      </c>
      <c r="B31" s="2" t="s">
        <v>116</v>
      </c>
      <c r="C31" s="2">
        <v>16</v>
      </c>
      <c r="D31" s="2" t="s">
        <v>117</v>
      </c>
      <c r="E31" s="2" t="s">
        <v>15</v>
      </c>
      <c r="F31" s="2" t="s">
        <v>15</v>
      </c>
      <c r="G31" s="2" t="s">
        <v>15</v>
      </c>
      <c r="H31" s="2" t="s">
        <v>118</v>
      </c>
      <c r="I31" s="2" t="s">
        <v>15</v>
      </c>
      <c r="J31" s="2">
        <v>50</v>
      </c>
      <c r="K31" s="2">
        <v>8.7999999999999995E-2</v>
      </c>
      <c r="L31" s="2">
        <f>Motor_42[[#This Row],[采购数量]]*Motor_42[[#This Row],[单价]]</f>
        <v>4.3999999999999995</v>
      </c>
      <c r="M31" s="2" t="s">
        <v>119</v>
      </c>
      <c r="N31" s="2" t="s">
        <v>120</v>
      </c>
      <c r="O31" s="4"/>
    </row>
    <row r="32" spans="1:15" ht="60" customHeight="1" x14ac:dyDescent="0.3">
      <c r="A32" s="3">
        <v>31</v>
      </c>
      <c r="B32" s="2" t="s">
        <v>121</v>
      </c>
      <c r="C32" s="2">
        <v>16</v>
      </c>
      <c r="D32" s="2" t="s">
        <v>122</v>
      </c>
      <c r="E32" s="2" t="s">
        <v>15</v>
      </c>
      <c r="F32" s="2" t="s">
        <v>15</v>
      </c>
      <c r="G32" s="2" t="s">
        <v>15</v>
      </c>
      <c r="H32" s="2" t="s">
        <v>123</v>
      </c>
      <c r="I32" s="2" t="s">
        <v>15</v>
      </c>
      <c r="J32" s="2">
        <v>20</v>
      </c>
      <c r="K32" s="2">
        <v>1.45</v>
      </c>
      <c r="L32" s="2">
        <f>Motor_42[[#This Row],[采购数量]]*Motor_42[[#This Row],[单价]]</f>
        <v>29</v>
      </c>
      <c r="M32" s="2" t="s">
        <v>122</v>
      </c>
      <c r="N32" s="2" t="s">
        <v>124</v>
      </c>
      <c r="O32" s="4"/>
    </row>
    <row r="33" spans="1:15" ht="60" customHeight="1" x14ac:dyDescent="0.3">
      <c r="A33" s="3">
        <v>32</v>
      </c>
      <c r="B33" s="2" t="s">
        <v>125</v>
      </c>
      <c r="C33" s="2">
        <v>8</v>
      </c>
      <c r="D33" s="2" t="s">
        <v>126</v>
      </c>
      <c r="E33" s="2" t="s">
        <v>15</v>
      </c>
      <c r="F33" s="2" t="s">
        <v>15</v>
      </c>
      <c r="G33" s="2" t="s">
        <v>15</v>
      </c>
      <c r="H33" s="2" t="s">
        <v>127</v>
      </c>
      <c r="I33" s="2" t="s">
        <v>15</v>
      </c>
      <c r="J33" s="2">
        <v>8</v>
      </c>
      <c r="K33" s="2">
        <v>4.45</v>
      </c>
      <c r="L33" s="2">
        <f>Motor_42[[#This Row],[采购数量]]*Motor_42[[#This Row],[单价]]</f>
        <v>35.6</v>
      </c>
      <c r="M33" s="2" t="s">
        <v>126</v>
      </c>
      <c r="N33" s="2" t="s">
        <v>128</v>
      </c>
      <c r="O33" s="4"/>
    </row>
    <row r="34" spans="1:15" ht="60" customHeight="1" x14ac:dyDescent="0.3">
      <c r="A34" s="3">
        <v>33</v>
      </c>
      <c r="B34" s="2" t="s">
        <v>129</v>
      </c>
      <c r="C34" s="2">
        <v>8</v>
      </c>
      <c r="D34" s="2" t="s">
        <v>130</v>
      </c>
      <c r="E34" s="2" t="s">
        <v>15</v>
      </c>
      <c r="F34" s="2" t="s">
        <v>15</v>
      </c>
      <c r="G34" s="2" t="s">
        <v>15</v>
      </c>
      <c r="H34" s="2" t="s">
        <v>131</v>
      </c>
      <c r="I34" s="2" t="s">
        <v>15</v>
      </c>
      <c r="J34" s="2">
        <v>20</v>
      </c>
      <c r="K34" s="2">
        <v>0.88</v>
      </c>
      <c r="L34" s="2">
        <f>Motor_42[[#This Row],[采购数量]]*Motor_42[[#This Row],[单价]]</f>
        <v>17.600000000000001</v>
      </c>
      <c r="M34" s="2" t="s">
        <v>132</v>
      </c>
      <c r="N34" s="2" t="s">
        <v>18</v>
      </c>
      <c r="O34" s="4"/>
    </row>
    <row r="35" spans="1:15" ht="60" customHeight="1" x14ac:dyDescent="0.3">
      <c r="A35" s="3">
        <v>34</v>
      </c>
      <c r="B35" s="2" t="s">
        <v>133</v>
      </c>
      <c r="C35" s="2">
        <v>8</v>
      </c>
      <c r="D35" s="2" t="s">
        <v>134</v>
      </c>
      <c r="E35" s="2" t="s">
        <v>15</v>
      </c>
      <c r="F35" s="2" t="s">
        <v>15</v>
      </c>
      <c r="G35" s="2" t="s">
        <v>15</v>
      </c>
      <c r="H35" s="2" t="s">
        <v>135</v>
      </c>
      <c r="I35" s="2" t="s">
        <v>15</v>
      </c>
      <c r="J35" s="2">
        <v>10</v>
      </c>
      <c r="K35" s="2">
        <v>2</v>
      </c>
      <c r="L35" s="2">
        <f>Motor_42[[#This Row],[采购数量]]*Motor_42[[#This Row],[单价]]</f>
        <v>20</v>
      </c>
      <c r="M35" s="2" t="s">
        <v>136</v>
      </c>
      <c r="N35" s="2" t="s">
        <v>137</v>
      </c>
      <c r="O35" s="4"/>
    </row>
    <row r="36" spans="1:15" ht="60" customHeight="1" x14ac:dyDescent="0.3">
      <c r="A36" s="3">
        <v>35</v>
      </c>
      <c r="B36" s="2" t="s">
        <v>138</v>
      </c>
      <c r="C36" s="2">
        <v>8</v>
      </c>
      <c r="D36" s="2" t="s">
        <v>139</v>
      </c>
      <c r="E36" s="2" t="s">
        <v>15</v>
      </c>
      <c r="F36" s="2" t="s">
        <v>15</v>
      </c>
      <c r="G36" s="2" t="s">
        <v>15</v>
      </c>
      <c r="H36" s="2" t="s">
        <v>140</v>
      </c>
      <c r="I36" s="2" t="s">
        <v>15</v>
      </c>
      <c r="J36" s="2">
        <v>20</v>
      </c>
      <c r="K36" s="2">
        <v>0.49</v>
      </c>
      <c r="L36" s="2">
        <f>Motor_42[[#This Row],[采购数量]]*Motor_42[[#This Row],[单价]]</f>
        <v>9.8000000000000007</v>
      </c>
      <c r="M36" s="2" t="s">
        <v>141</v>
      </c>
      <c r="N36" s="2" t="s">
        <v>142</v>
      </c>
      <c r="O36" s="4"/>
    </row>
    <row r="37" spans="1:15" ht="60" customHeight="1" x14ac:dyDescent="0.3">
      <c r="A37" s="3">
        <v>36</v>
      </c>
      <c r="B37" s="2" t="s">
        <v>143</v>
      </c>
      <c r="C37" s="2">
        <v>8</v>
      </c>
      <c r="D37" s="2" t="s">
        <v>144</v>
      </c>
      <c r="E37" s="2" t="s">
        <v>15</v>
      </c>
      <c r="F37" s="2" t="s">
        <v>15</v>
      </c>
      <c r="G37" s="2" t="s">
        <v>15</v>
      </c>
      <c r="H37" s="2" t="s">
        <v>145</v>
      </c>
      <c r="I37" s="2" t="s">
        <v>15</v>
      </c>
      <c r="J37" s="2">
        <v>8</v>
      </c>
      <c r="K37" s="2">
        <v>3.9</v>
      </c>
      <c r="L37" s="2">
        <f>Motor_42[[#This Row],[采购数量]]*Motor_42[[#This Row],[单价]]</f>
        <v>31.2</v>
      </c>
      <c r="M37" s="2" t="s">
        <v>146</v>
      </c>
      <c r="N37" s="2" t="s">
        <v>147</v>
      </c>
      <c r="O37" s="4"/>
    </row>
    <row r="38" spans="1:15" ht="60" customHeight="1" x14ac:dyDescent="0.3">
      <c r="A38" s="3">
        <v>37</v>
      </c>
      <c r="B38" s="2" t="s">
        <v>148</v>
      </c>
      <c r="C38" s="2">
        <v>8</v>
      </c>
      <c r="D38" s="2" t="s">
        <v>149</v>
      </c>
      <c r="E38" s="2" t="s">
        <v>15</v>
      </c>
      <c r="F38" s="2" t="s">
        <v>15</v>
      </c>
      <c r="G38" s="2" t="s">
        <v>15</v>
      </c>
      <c r="H38" s="2" t="s">
        <v>135</v>
      </c>
      <c r="I38" s="2" t="s">
        <v>15</v>
      </c>
      <c r="J38" s="2">
        <v>8</v>
      </c>
      <c r="K38" s="2">
        <v>3.76</v>
      </c>
      <c r="L38" s="2">
        <f>Motor_42[[#This Row],[采购数量]]*Motor_42[[#This Row],[单价]]</f>
        <v>30.08</v>
      </c>
      <c r="M38" s="2" t="s">
        <v>150</v>
      </c>
      <c r="N38" s="2" t="s">
        <v>151</v>
      </c>
      <c r="O38" s="4"/>
    </row>
    <row r="39" spans="1:15" ht="60" customHeight="1" x14ac:dyDescent="0.3">
      <c r="A39" s="3">
        <v>38</v>
      </c>
      <c r="B39" s="2" t="s">
        <v>152</v>
      </c>
      <c r="C39" s="2">
        <v>8</v>
      </c>
      <c r="D39" s="2" t="s">
        <v>153</v>
      </c>
      <c r="E39" s="2" t="s">
        <v>15</v>
      </c>
      <c r="F39" s="2" t="s">
        <v>15</v>
      </c>
      <c r="G39" s="2" t="s">
        <v>15</v>
      </c>
      <c r="H39" s="2" t="s">
        <v>145</v>
      </c>
      <c r="I39" s="2" t="s">
        <v>15</v>
      </c>
      <c r="J39" s="2">
        <v>8</v>
      </c>
      <c r="K39" s="2">
        <v>3.5</v>
      </c>
      <c r="L39" s="2">
        <f>Motor_42[[#This Row],[采购数量]]*Motor_42[[#This Row],[单价]]</f>
        <v>28</v>
      </c>
      <c r="M39" s="2" t="s">
        <v>154</v>
      </c>
      <c r="N39" s="2" t="s">
        <v>15</v>
      </c>
      <c r="O39" s="4"/>
    </row>
    <row r="40" spans="1:15" ht="60" customHeight="1" x14ac:dyDescent="0.3">
      <c r="A40" s="3">
        <v>39</v>
      </c>
      <c r="B40" s="2" t="s">
        <v>155</v>
      </c>
      <c r="C40" s="2">
        <v>8</v>
      </c>
      <c r="D40" s="2" t="s">
        <v>156</v>
      </c>
      <c r="E40" s="2" t="s">
        <v>15</v>
      </c>
      <c r="F40" s="2" t="s">
        <v>15</v>
      </c>
      <c r="G40" s="2" t="s">
        <v>15</v>
      </c>
      <c r="H40" s="2" t="s">
        <v>157</v>
      </c>
      <c r="I40" s="2" t="s">
        <v>15</v>
      </c>
      <c r="J40" s="2">
        <v>10</v>
      </c>
      <c r="K40" s="2">
        <v>0.68</v>
      </c>
      <c r="L40" s="2">
        <f>Motor_42[[#This Row],[采购数量]]*Motor_42[[#This Row],[单价]]</f>
        <v>6.8000000000000007</v>
      </c>
      <c r="M40" s="2" t="s">
        <v>158</v>
      </c>
      <c r="N40" s="2" t="s">
        <v>18</v>
      </c>
      <c r="O40" s="4"/>
    </row>
    <row r="41" spans="1:15" ht="60" customHeight="1" x14ac:dyDescent="0.3">
      <c r="A41" s="3">
        <v>40</v>
      </c>
      <c r="B41" s="2" t="s">
        <v>15</v>
      </c>
      <c r="C41" s="2"/>
      <c r="D41" s="2" t="s">
        <v>159</v>
      </c>
      <c r="E41" s="2" t="s">
        <v>15</v>
      </c>
      <c r="F41" s="2" t="s">
        <v>15</v>
      </c>
      <c r="G41" s="2" t="s">
        <v>15</v>
      </c>
      <c r="H41" s="2" t="s">
        <v>15</v>
      </c>
      <c r="I41" s="2" t="s">
        <v>15</v>
      </c>
      <c r="J41" s="2">
        <v>20</v>
      </c>
      <c r="K41" s="2">
        <v>0.02</v>
      </c>
      <c r="L41" s="2">
        <f>Motor_42[[#This Row],[采购数量]]*Motor_42[[#This Row],[单价]]</f>
        <v>0.4</v>
      </c>
      <c r="M41" s="2" t="s">
        <v>15</v>
      </c>
      <c r="N41" s="2" t="s">
        <v>15</v>
      </c>
      <c r="O41" s="4"/>
    </row>
    <row r="42" spans="1:15" ht="60" customHeight="1" x14ac:dyDescent="0.3">
      <c r="A42" s="3">
        <v>41</v>
      </c>
      <c r="B42" s="2"/>
      <c r="C42" s="2"/>
      <c r="D42" s="2" t="s">
        <v>160</v>
      </c>
      <c r="E42" s="2"/>
      <c r="F42" s="2"/>
      <c r="G42" s="2"/>
      <c r="H42" s="2"/>
      <c r="I42" s="2"/>
      <c r="J42" s="2">
        <v>10</v>
      </c>
      <c r="K42" s="2">
        <v>5.5</v>
      </c>
      <c r="L42" s="2">
        <f>Motor_42[[#This Row],[采购数量]]*Motor_42[[#This Row],[单价]]</f>
        <v>55</v>
      </c>
      <c r="M42" s="2"/>
      <c r="N42" s="2" t="s">
        <v>161</v>
      </c>
      <c r="O42" s="4"/>
    </row>
    <row r="43" spans="1:15" ht="60" customHeight="1" x14ac:dyDescent="0.3">
      <c r="A43" s="3">
        <v>42</v>
      </c>
      <c r="B43" s="2"/>
      <c r="C43" s="2"/>
      <c r="D43" s="2" t="s">
        <v>162</v>
      </c>
      <c r="E43" s="2"/>
      <c r="F43" s="2"/>
      <c r="G43" s="2"/>
      <c r="H43" s="2"/>
      <c r="I43" s="2"/>
      <c r="J43" s="2">
        <v>5</v>
      </c>
      <c r="K43" s="2">
        <v>5.5</v>
      </c>
      <c r="L43" s="2">
        <f>Motor_42[[#This Row],[采购数量]]*Motor_42[[#This Row],[单价]]</f>
        <v>27.5</v>
      </c>
      <c r="M43" s="2"/>
      <c r="N43" s="2" t="s">
        <v>161</v>
      </c>
      <c r="O43" s="4"/>
    </row>
    <row r="44" spans="1:15" ht="60" customHeight="1" x14ac:dyDescent="0.3">
      <c r="B44" s="1"/>
      <c r="C44" s="1"/>
      <c r="D44" s="1"/>
      <c r="E44" s="1"/>
      <c r="F44" s="1"/>
      <c r="G44" s="1"/>
      <c r="H44" s="1"/>
      <c r="I44" s="1"/>
      <c r="J44" s="1"/>
      <c r="K44" s="1" t="s">
        <v>163</v>
      </c>
      <c r="L44" s="1">
        <f>SUM(L2:L43)</f>
        <v>412.09</v>
      </c>
      <c r="M44" s="1"/>
      <c r="N44" s="1"/>
      <c r="O44" s="4"/>
    </row>
  </sheetData>
  <phoneticPr fontId="1" type="noConversion"/>
  <pageMargins left="0.7" right="0.7" top="0.75" bottom="0.75" header="0.3" footer="0.3"/>
  <pageSetup paperSize="9" scale="26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4" x14ac:dyDescent="0.3"/>
  <sheetData/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2E200EB-6279-4B5F-A46B-D26513E45A2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徐志豪</dc:creator>
  <cp:lastModifiedBy>徐志豪</cp:lastModifiedBy>
  <cp:lastPrinted>2026-06-12T01:43:41Z</cp:lastPrinted>
  <dcterms:created xsi:type="dcterms:W3CDTF">2015-06-05T18:19:34Z</dcterms:created>
  <dcterms:modified xsi:type="dcterms:W3CDTF">2026-06-12T01:43:43Z</dcterms:modified>
</cp:coreProperties>
</file>