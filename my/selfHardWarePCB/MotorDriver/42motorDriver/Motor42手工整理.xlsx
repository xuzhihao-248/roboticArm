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code\project\roboticArm\my\selfHardWarePCB\MotorDriver\42motorDriver\"/>
    </mc:Choice>
  </mc:AlternateContent>
  <xr:revisionPtr revIDLastSave="0" documentId="13_ncr:1_{1357E975-86F4-4EB2-856F-6F2010F11F36}" xr6:coauthVersionLast="36" xr6:coauthVersionMax="36" xr10:uidLastSave="{00000000-0000-0000-0000-000000000000}"/>
  <bookViews>
    <workbookView xWindow="0" yWindow="0" windowWidth="38400" windowHeight="17700" xr2:uid="{00000000-000D-0000-FFFF-FFFF00000000}"/>
  </bookViews>
  <sheets>
    <sheet name="Sheet2" sheetId="2" r:id="rId1"/>
    <sheet name="Sheet1" sheetId="1" r:id="rId2"/>
  </sheets>
  <definedNames>
    <definedName name="ExternalData_1" localSheetId="0" hidden="1">Sheet2!$A$1:$L$41</definedName>
  </definedNames>
  <calcPr calcId="191029"/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2" i="2"/>
  <c r="I41" i="2"/>
  <c r="I28" i="2"/>
  <c r="I13" i="2"/>
  <c r="K41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 - Motor-42BOM" description="与工作簿中“Motor-42BOM”查询的连接。" type="5" refreshedVersion="2" background="1" saveData="1">
    <dbPr connection="Provider=Microsoft.Mashup.OleDb.1;Data Source=$Workbook$;Location=Motor-42BOM;Extended Properties=&quot;&quot;" command="SELECT * FROM [Motor-42BOM]"/>
  </connection>
</connections>
</file>

<file path=xl/sharedStrings.xml><?xml version="1.0" encoding="utf-8"?>
<sst xmlns="http://schemas.openxmlformats.org/spreadsheetml/2006/main" count="340" uniqueCount="142">
  <si>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</si>
  <si>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</si>
  <si>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</si>
  <si>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</si>
  <si>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</si>
  <si>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</si>
  <si>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</si>
  <si>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</si>
  <si>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2套数量</t>
  </si>
  <si>
    <t>单价</t>
  </si>
  <si>
    <t>总价</t>
  </si>
  <si>
    <t>列1</t>
  </si>
  <si>
    <t>C1,C2,C4,C5,C6,C7,C8,C9,C15,C17,C18,C21,C25,C26,C32</t>
  </si>
  <si>
    <t>0.1uF</t>
  </si>
  <si>
    <t/>
  </si>
  <si>
    <t>CAP_0402</t>
  </si>
  <si>
    <t>C3,C10,C19,C22,C24,C28,C30</t>
  </si>
  <si>
    <t>10uF</t>
  </si>
  <si>
    <t>C11,C12,C13,C14</t>
  </si>
  <si>
    <t>100uF</t>
  </si>
  <si>
    <t>1206-CAP</t>
  </si>
  <si>
    <t>C16</t>
  </si>
  <si>
    <t>100pF</t>
  </si>
  <si>
    <t>C20</t>
  </si>
  <si>
    <t>10uF/50V</t>
  </si>
  <si>
    <t>C23</t>
  </si>
  <si>
    <t>10nF</t>
  </si>
  <si>
    <t>C33</t>
  </si>
  <si>
    <t>220pF</t>
  </si>
  <si>
    <t>D1</t>
  </si>
  <si>
    <t>DO-214AC</t>
  </si>
  <si>
    <t>D2</t>
  </si>
  <si>
    <t>SMBJ-CA_MFG</t>
  </si>
  <si>
    <t>D3,D4</t>
  </si>
  <si>
    <t>二极管-5819W</t>
  </si>
  <si>
    <t>SOD-323</t>
  </si>
  <si>
    <t>D6</t>
  </si>
  <si>
    <t>J1</t>
  </si>
  <si>
    <t>跳线</t>
  </si>
  <si>
    <t>0402-0R</t>
  </si>
  <si>
    <t>K1,K2</t>
  </si>
  <si>
    <t>TACT 2P</t>
  </si>
  <si>
    <t>L1</t>
  </si>
  <si>
    <t>L2</t>
  </si>
  <si>
    <t>2.2uH</t>
  </si>
  <si>
    <t>2520-L</t>
  </si>
  <si>
    <t>P1</t>
  </si>
  <si>
    <t>SH1.0-5P</t>
  </si>
  <si>
    <t>P2,P3,P4</t>
  </si>
  <si>
    <t>SH1.0-6P</t>
  </si>
  <si>
    <t>P5</t>
  </si>
  <si>
    <t>SH1.0-3P</t>
  </si>
  <si>
    <t>R1,R2,R6,R7,R17</t>
  </si>
  <si>
    <t>1K</t>
  </si>
  <si>
    <t>RES_0402</t>
  </si>
  <si>
    <t>R3,R8</t>
  </si>
  <si>
    <t>0.1R</t>
  </si>
  <si>
    <t>1206-RES</t>
  </si>
  <si>
    <t>R4</t>
  </si>
  <si>
    <t>R5</t>
  </si>
  <si>
    <t>3.3K</t>
  </si>
  <si>
    <t>R9,R10,R13,R16</t>
  </si>
  <si>
    <t>10K</t>
  </si>
  <si>
    <t>R14</t>
  </si>
  <si>
    <t>1.8K</t>
  </si>
  <si>
    <t>R15</t>
  </si>
  <si>
    <t>1M</t>
  </si>
  <si>
    <t>R23</t>
  </si>
  <si>
    <t>560K</t>
  </si>
  <si>
    <t>R26</t>
  </si>
  <si>
    <t>R27</t>
  </si>
  <si>
    <t>13.3K</t>
  </si>
  <si>
    <t>T1,T2</t>
  </si>
  <si>
    <t>测试点</t>
  </si>
  <si>
    <t>TEST_PT</t>
  </si>
  <si>
    <t>U1,U2</t>
  </si>
  <si>
    <t>U3</t>
  </si>
  <si>
    <t>LQFP-48</t>
  </si>
  <si>
    <t>U4</t>
  </si>
  <si>
    <t>SOT23-3</t>
  </si>
  <si>
    <t>U5</t>
  </si>
  <si>
    <t>SO-8</t>
  </si>
  <si>
    <t>U6</t>
  </si>
  <si>
    <t>SOT23-6</t>
  </si>
  <si>
    <t>U7</t>
  </si>
  <si>
    <t>SOT23-5</t>
  </si>
  <si>
    <t>U8</t>
  </si>
  <si>
    <t>U11</t>
  </si>
  <si>
    <t>Y1</t>
  </si>
  <si>
    <t>12MHz</t>
  </si>
  <si>
    <t>晶振-3P</t>
  </si>
  <si>
    <t>有10uF 6.3V 10uF 10v 10uF 16v应该选哪个？</t>
    <phoneticPr fontId="3" type="noConversion"/>
  </si>
  <si>
    <t>也是有6.3V和10V两种</t>
    <phoneticPr fontId="3" type="noConversion"/>
  </si>
  <si>
    <t>NPO X7R</t>
    <phoneticPr fontId="3" type="noConversion"/>
  </si>
  <si>
    <t>SMBJ28CA</t>
    <phoneticPr fontId="3" type="noConversion"/>
  </si>
  <si>
    <t>NCP15XH103F03RC</t>
    <phoneticPr fontId="3" type="noConversion"/>
  </si>
  <si>
    <t>120R</t>
    <phoneticPr fontId="3" type="noConversion"/>
  </si>
  <si>
    <t>R11,R12</t>
    <phoneticPr fontId="3" type="noConversion"/>
  </si>
  <si>
    <t>0402*4 贴片磁排珠 可以用吗</t>
    <phoneticPr fontId="3" type="noConversion"/>
  </si>
  <si>
    <t>TB67H450FNG</t>
    <phoneticPr fontId="3" type="noConversion"/>
  </si>
  <si>
    <t>TL431IDBZT</t>
    <phoneticPr fontId="3" type="noConversion"/>
  </si>
  <si>
    <t>TL431 SOT-23？？</t>
    <phoneticPr fontId="3" type="noConversion"/>
  </si>
  <si>
    <t>SN65HVD232D</t>
    <phoneticPr fontId="3" type="noConversion"/>
  </si>
  <si>
    <t>ME3116</t>
    <phoneticPr fontId="3" type="noConversion"/>
  </si>
  <si>
    <t>LP2992 3V3</t>
    <phoneticPr fontId="3" type="noConversion"/>
  </si>
  <si>
    <t>MT6816</t>
    <phoneticPr fontId="3" type="noConversion"/>
  </si>
  <si>
    <t>TPS61040DBV</t>
    <phoneticPr fontId="3" type="noConversion"/>
  </si>
  <si>
    <t>不知道封装 有10pF和33pF两种 CSTNE1M0G520000R0</t>
    <phoneticPr fontId="3" type="noConversion"/>
  </si>
  <si>
    <t>auwah旗舰店</t>
    <phoneticPr fontId="3" type="noConversion"/>
  </si>
  <si>
    <t>列2</t>
    <phoneticPr fontId="3" type="noConversion"/>
  </si>
  <si>
    <t>SS54</t>
    <phoneticPr fontId="3" type="noConversion"/>
  </si>
  <si>
    <t>深圳市科展伟业电子</t>
    <phoneticPr fontId="3" type="noConversion"/>
  </si>
  <si>
    <t>二极管-5B5819WS</t>
    <phoneticPr fontId="3" type="noConversion"/>
  </si>
  <si>
    <t>ButtonTACT_3x4x2_180</t>
    <phoneticPr fontId="3" type="noConversion"/>
  </si>
  <si>
    <t>6.8uH</t>
    <phoneticPr fontId="3" type="noConversion"/>
  </si>
  <si>
    <t>IND-201612</t>
    <phoneticPr fontId="3" type="noConversion"/>
  </si>
  <si>
    <t>功率电感YSMC201612H-6R8MB 0806 6.8uH 1.9A T-CORE扁线一体成型</t>
  </si>
  <si>
    <t>深圳市元易购买电子</t>
    <phoneticPr fontId="3" type="noConversion"/>
  </si>
  <si>
    <t>SH1.0-5P</t>
    <phoneticPr fontId="3" type="noConversion"/>
  </si>
  <si>
    <t>有卧贴 散装 编带 立贴散装 编带2加盖 应该选择什么？</t>
    <phoneticPr fontId="3" type="noConversion"/>
  </si>
  <si>
    <t>93.1K</t>
    <phoneticPr fontId="3" type="noConversion"/>
  </si>
  <si>
    <t>RES_0402</t>
    <phoneticPr fontId="3" type="noConversion"/>
  </si>
  <si>
    <t>欧贝顿旗舰店</t>
    <phoneticPr fontId="3" type="noConversion"/>
  </si>
  <si>
    <t>SO-8-PAD</t>
    <phoneticPr fontId="3" type="noConversion"/>
  </si>
  <si>
    <t>深圳市圭鑫电子科技</t>
    <phoneticPr fontId="3" type="noConversion"/>
  </si>
  <si>
    <t>STM32F103CBT6</t>
    <phoneticPr fontId="3" type="noConversion"/>
  </si>
  <si>
    <t>深圳市卓存电子科技企业店</t>
    <phoneticPr fontId="3" type="noConversion"/>
  </si>
  <si>
    <t>SN65HVD232D SN65HVD232DR?</t>
    <phoneticPr fontId="3" type="noConversion"/>
  </si>
  <si>
    <t>深圳市康胜世纪电子企业店</t>
    <phoneticPr fontId="3" type="noConversion"/>
  </si>
  <si>
    <t>深圳市优信电子科技有限公司</t>
    <phoneticPr fontId="3" type="noConversion"/>
  </si>
  <si>
    <t>原装 LP2992AIM5X-3.3/NOPB 贴片SOT-23-5 低压降稳压器250mA 16V</t>
    <phoneticPr fontId="3" type="noConversion"/>
  </si>
  <si>
    <t>coomiss旗舰店</t>
    <phoneticPr fontId="3" type="noConversion"/>
  </si>
  <si>
    <t>MT6816CT-STD SOP-8位置传感器 磁性角度14位高精角度编码器芯片</t>
  </si>
  <si>
    <t>深圳市新纶电子</t>
    <phoneticPr fontId="3" type="noConversion"/>
  </si>
  <si>
    <t>全新原装 TPS61040DBVR 丝印PH01 贴片SOT23-5 电源升压芯片IC</t>
  </si>
  <si>
    <t>深圳市虹芯达电子</t>
    <phoneticPr fontId="3" type="noConversion"/>
  </si>
  <si>
    <t>1N5819WS-SOD-323(0805)</t>
    <phoneticPr fontId="3" type="noConversion"/>
  </si>
  <si>
    <t>100PCS 3*4*2MM 3X4X2mm SMD Tact 2P miniature micro switch /</t>
    <phoneticPr fontId="3" type="noConversion"/>
  </si>
  <si>
    <t>爱振甄选</t>
    <phoneticPr fontId="3" type="noConversion"/>
  </si>
  <si>
    <r>
      <rPr>
        <sz val="10"/>
        <color theme="1"/>
        <rFont val="微软雅黑"/>
        <family val="2"/>
        <charset val="134"/>
      </rPr>
      <t>测试点</t>
    </r>
    <r>
      <rPr>
        <sz val="10"/>
        <color theme="1"/>
        <rFont val="MS Sans Serif"/>
        <family val="2"/>
      </rPr>
      <t xml:space="preserve"> PC</t>
    </r>
    <r>
      <rPr>
        <sz val="10"/>
        <color theme="1"/>
        <rFont val="微软雅黑"/>
        <family val="2"/>
        <charset val="134"/>
      </rPr>
      <t>板测试点</t>
    </r>
    <r>
      <rPr>
        <sz val="10"/>
        <color theme="1"/>
        <rFont val="MS Sans Serif"/>
        <family val="2"/>
      </rPr>
      <t xml:space="preserve"> </t>
    </r>
    <r>
      <rPr>
        <sz val="10"/>
        <color theme="1"/>
        <rFont val="微软雅黑"/>
        <family val="2"/>
        <charset val="134"/>
      </rPr>
      <t>镀金陶瓷测试环</t>
    </r>
    <r>
      <rPr>
        <sz val="10"/>
        <color theme="1"/>
        <rFont val="MS Sans Serif"/>
        <family val="2"/>
      </rPr>
      <t xml:space="preserve"> </t>
    </r>
    <r>
      <rPr>
        <sz val="10"/>
        <color theme="1"/>
        <rFont val="微软雅黑"/>
        <family val="2"/>
        <charset val="134"/>
      </rPr>
      <t>电路板测试针厚金</t>
    </r>
    <r>
      <rPr>
        <sz val="10"/>
        <color theme="1"/>
        <rFont val="MS Sans Serif"/>
        <family val="2"/>
      </rPr>
      <t>3U TEST-1R</t>
    </r>
    <r>
      <rPr>
        <sz val="10"/>
        <color theme="1"/>
        <rFont val="PingFang SC"/>
        <family val="2"/>
      </rPr>
      <t xml:space="preserve"> TEST-1B 蓝色</t>
    </r>
    <phoneticPr fontId="3" type="noConversion"/>
  </si>
  <si>
    <t>兴宇乐塑胶旗舰店</t>
    <phoneticPr fontId="3" type="noConversion"/>
  </si>
  <si>
    <r>
      <t>ME3116AM6G SOT-23-6</t>
    </r>
    <r>
      <rPr>
        <sz val="10"/>
        <color theme="1"/>
        <rFont val="微软雅黑"/>
        <family val="2"/>
        <charset val="134"/>
      </rPr>
      <t>输入</t>
    </r>
    <r>
      <rPr>
        <sz val="10"/>
        <color theme="1"/>
        <rFont val="Arial"/>
        <family val="2"/>
      </rPr>
      <t xml:space="preserve">40V </t>
    </r>
    <r>
      <rPr>
        <sz val="10"/>
        <color theme="1"/>
        <rFont val="微软雅黑"/>
        <family val="2"/>
        <charset val="134"/>
      </rPr>
      <t>带载可达</t>
    </r>
    <r>
      <rPr>
        <sz val="10"/>
        <color theme="1"/>
        <rFont val="Arial"/>
        <family val="2"/>
      </rPr>
      <t>1A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Arial"/>
        <family val="2"/>
      </rPr>
      <t>DC-DC</t>
    </r>
    <r>
      <rPr>
        <sz val="10"/>
        <color theme="1"/>
        <rFont val="微软雅黑"/>
        <family val="2"/>
        <charset val="134"/>
      </rPr>
      <t>降压型稳压器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</si>
</sst>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PingFang SC"/>
      <family val="2"/>
    </font>
    <font>
      <sz val="10"/>
      <color theme="1"/>
      <name val="微软雅黑"/>
      <family val="2"/>
      <charset val="134"/>
    </font>
    <font>
      <sz val="10"/>
      <color theme="1"/>
      <name val="MS Sans Serif"/>
      <family val="2"/>
    </font>
    <font>
      <sz val="10"/>
      <color theme="1"/>
      <name val="PingFang SC"/>
      <family val="2"/>
      <charset val="134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2" fillId="0" borderId="0" xfId="0" applyFont="1"/>
    <xf numFmtId="0" fontId="0" fillId="2" borderId="0" xfId="0" applyFill="1"/>
    <xf numFmtId="0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0" fillId="3" borderId="0" xfId="0" applyFill="1"/>
    <xf numFmtId="0" fontId="1" fillId="3" borderId="0" xfId="0" applyNumberFormat="1" applyFont="1" applyFill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4" fillId="0" borderId="0" xfId="0" applyFont="1" applyFill="1"/>
    <xf numFmtId="0" fontId="7" fillId="0" borderId="0" xfId="0" applyFont="1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31461</xdr:colOff>
      <xdr:row>40</xdr:row>
      <xdr:rowOff>48781</xdr:rowOff>
    </xdr:from>
    <xdr:to>
      <xdr:col>6</xdr:col>
      <xdr:colOff>1095191</xdr:colOff>
      <xdr:row>63</xdr:row>
      <xdr:rowOff>135371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C79B4B5-B345-44B1-957C-47A8CB0C3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61" y="7010690"/>
          <a:ext cx="3903912" cy="4069772"/>
        </a:xfrm>
        <a:prstGeom prst="rect">
          <a:avLst/>
        </a:prstGeom>
      </xdr:spPr>
    </xdr:pic>
    <xdr:clientData/>
  </xdr:twoCellAnchor>
  <xdr:twoCellAnchor editAs="oneCell">
    <xdr:from>
      <xdr:col>6</xdr:col>
      <xdr:colOff>1092200</xdr:colOff>
      <xdr:row>40</xdr:row>
      <xdr:rowOff>158751</xdr:rowOff>
    </xdr:from>
    <xdr:to>
      <xdr:col>11</xdr:col>
      <xdr:colOff>599786</xdr:colOff>
      <xdr:row>64</xdr:row>
      <xdr:rowOff>10133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F64DEF6-5E22-4ED6-ADA9-F7700CB56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32382" y="7120660"/>
          <a:ext cx="3878118" cy="4001396"/>
        </a:xfrm>
        <a:prstGeom prst="rect">
          <a:avLst/>
        </a:prstGeom>
      </xdr:spPr>
    </xdr:pic>
    <xdr:clientData/>
  </xdr:twoCellAnchor>
  <xdr:twoCellAnchor editAs="oneCell">
    <xdr:from>
      <xdr:col>11</xdr:col>
      <xdr:colOff>579005</xdr:colOff>
      <xdr:row>40</xdr:row>
      <xdr:rowOff>40699</xdr:rowOff>
    </xdr:from>
    <xdr:to>
      <xdr:col>14</xdr:col>
      <xdr:colOff>30588</xdr:colOff>
      <xdr:row>64</xdr:row>
      <xdr:rowOff>45604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6B53E20-367A-45C3-B4A7-0C94F38DB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3369" y="7002608"/>
          <a:ext cx="4040901" cy="4167619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1" applyPatternFormats="1" applyAlignmentFormats="0" applyWidthHeightFormats="0">
  <queryTableRefresh nextId="14" unboundColumnsRight="1">
    <queryTableFields count="13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tor_42BOM" displayName="Motor_42BOM" ref="A1:M41" tableType="queryTable" totalsRowShown="0">
  <autoFilter ref="A1:M41" xr:uid="{00000000-0009-0000-0100-000001000000}"/>
  <tableColumns count="13">
    <tableColumn id="1" xr3:uid="{00000000-0010-0000-0000-000001000000}" uniqueName="1" name="Reference" queryTableFieldId="1"/>
    <tableColumn id="2" xr3:uid="{00000000-0010-0000-0000-000002000000}" uniqueName="2" name="Qty" queryTableFieldId="2"/>
    <tableColumn id="3" xr3:uid="{00000000-0010-0000-0000-000003000000}" uniqueName="3" name="Value" queryTableFieldId="3"/>
    <tableColumn id="4" xr3:uid="{00000000-0010-0000-0000-000004000000}" uniqueName="4" name="DNP" queryTableFieldId="4"/>
    <tableColumn id="5" xr3:uid="{00000000-0010-0000-0000-000005000000}" uniqueName="5" name="Exclude from BOM" queryTableFieldId="5"/>
    <tableColumn id="6" xr3:uid="{00000000-0010-0000-0000-000006000000}" uniqueName="6" name="Exclude from Board" queryTableFieldId="6"/>
    <tableColumn id="7" xr3:uid="{00000000-0010-0000-0000-000007000000}" uniqueName="7" name="Footprint" queryTableFieldId="7"/>
    <tableColumn id="8" xr3:uid="{00000000-0010-0000-0000-000008000000}" uniqueName="8" name="Datasheet" queryTableFieldId="8"/>
    <tableColumn id="9" xr3:uid="{00000000-0010-0000-0000-000009000000}" uniqueName="9" name="2套数量" queryTableFieldId="9" dataDxfId="1">
      <calculatedColumnFormula>B2*2</calculatedColumnFormula>
    </tableColumn>
    <tableColumn id="10" xr3:uid="{00000000-0010-0000-0000-00000A000000}" uniqueName="10" name="单价" queryTableFieldId="10"/>
    <tableColumn id="11" xr3:uid="{00000000-0010-0000-0000-00000B000000}" uniqueName="11" name="总价" queryTableFieldId="11" dataDxfId="0">
      <calculatedColumnFormula>I2*J2</calculatedColumnFormula>
    </tableColumn>
    <tableColumn id="12" xr3:uid="{00000000-0010-0000-0000-00000C000000}" uniqueName="12" name="列1" queryTableFieldId="12"/>
    <tableColumn id="13" xr3:uid="{B8893884-BFDB-407A-BAEE-8BFF900C89C5}" uniqueName="13" name="列2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zoomScale="55" zoomScaleNormal="55" workbookViewId="0">
      <selection activeCell="C71" sqref="C71"/>
    </sheetView>
  </sheetViews>
  <sheetFormatPr defaultColWidth="9" defaultRowHeight="14"/>
  <cols>
    <col min="1" max="1" width="13.08203125" customWidth="1"/>
    <col min="2" max="2" width="6.25" customWidth="1"/>
    <col min="3" max="3" width="17.58203125" customWidth="1"/>
    <col min="4" max="4" width="7.08203125" hidden="1" customWidth="1"/>
    <col min="5" max="5" width="19.25" hidden="1" customWidth="1"/>
    <col min="6" max="6" width="20" hidden="1" customWidth="1"/>
    <col min="7" max="7" width="20.5" customWidth="1"/>
    <col min="8" max="8" width="11.58203125" hidden="1" customWidth="1"/>
    <col min="9" max="11" width="12.33203125" style="1" customWidth="1"/>
    <col min="12" max="12" width="34" customWidth="1"/>
    <col min="13" max="13" width="1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109</v>
      </c>
    </row>
    <row r="2" spans="1:13">
      <c r="A2" t="s">
        <v>12</v>
      </c>
      <c r="B2">
        <v>120</v>
      </c>
      <c r="C2" t="s">
        <v>13</v>
      </c>
      <c r="D2" t="s">
        <v>14</v>
      </c>
      <c r="E2" t="s">
        <v>14</v>
      </c>
      <c r="F2" t="s">
        <v>14</v>
      </c>
      <c r="G2" t="s">
        <v>15</v>
      </c>
      <c r="H2" t="s">
        <v>14</v>
      </c>
      <c r="I2" s="2">
        <v>100</v>
      </c>
      <c r="J2" s="1">
        <v>0.02</v>
      </c>
      <c r="K2" s="2">
        <f>Motor_42BOM[[#This Row],[2套数量]]*Motor_42BOM[[#This Row],[单价]]</f>
        <v>2</v>
      </c>
      <c r="M2" s="3" t="s">
        <v>108</v>
      </c>
    </row>
    <row r="3" spans="1:13">
      <c r="A3" s="4" t="s">
        <v>16</v>
      </c>
      <c r="B3" s="4">
        <v>56</v>
      </c>
      <c r="C3" s="4" t="s">
        <v>17</v>
      </c>
      <c r="D3" s="4" t="s">
        <v>14</v>
      </c>
      <c r="E3" s="4" t="s">
        <v>14</v>
      </c>
      <c r="F3" s="4" t="s">
        <v>14</v>
      </c>
      <c r="G3" s="4" t="s">
        <v>15</v>
      </c>
      <c r="H3" s="4" t="s">
        <v>14</v>
      </c>
      <c r="I3" s="5">
        <v>100</v>
      </c>
      <c r="J3" s="1">
        <v>0.05</v>
      </c>
      <c r="K3" s="2">
        <f>Motor_42BOM[[#This Row],[2套数量]]*Motor_42BOM[[#This Row],[单价]]</f>
        <v>5</v>
      </c>
      <c r="L3" s="7" t="s">
        <v>91</v>
      </c>
      <c r="M3" s="3" t="s">
        <v>108</v>
      </c>
    </row>
    <row r="4" spans="1:13">
      <c r="A4" s="4" t="s">
        <v>18</v>
      </c>
      <c r="B4" s="4">
        <v>32</v>
      </c>
      <c r="C4" s="4" t="s">
        <v>19</v>
      </c>
      <c r="D4" s="4" t="s">
        <v>14</v>
      </c>
      <c r="E4" s="4" t="s">
        <v>14</v>
      </c>
      <c r="F4" s="4" t="s">
        <v>14</v>
      </c>
      <c r="G4" s="4" t="s">
        <v>20</v>
      </c>
      <c r="H4" s="4" t="s">
        <v>14</v>
      </c>
      <c r="I4" s="5">
        <v>100</v>
      </c>
      <c r="J4" s="1">
        <v>5.2000000000000005E-2</v>
      </c>
      <c r="K4" s="2">
        <f>Motor_42BOM[[#This Row],[2套数量]]*Motor_42BOM[[#This Row],[单价]]</f>
        <v>5.2</v>
      </c>
      <c r="L4" s="7" t="s">
        <v>92</v>
      </c>
      <c r="M4" s="3" t="s">
        <v>108</v>
      </c>
    </row>
    <row r="5" spans="1:13">
      <c r="A5" t="s">
        <v>21</v>
      </c>
      <c r="B5">
        <v>8</v>
      </c>
      <c r="C5" t="s">
        <v>22</v>
      </c>
      <c r="D5" t="s">
        <v>14</v>
      </c>
      <c r="E5" t="s">
        <v>14</v>
      </c>
      <c r="F5" t="s">
        <v>14</v>
      </c>
      <c r="G5" t="s">
        <v>15</v>
      </c>
      <c r="H5" t="s">
        <v>14</v>
      </c>
      <c r="I5" s="2">
        <v>100</v>
      </c>
      <c r="J5" s="1">
        <v>1.9E-2</v>
      </c>
      <c r="K5" s="2">
        <f>Motor_42BOM[[#This Row],[2套数量]]*Motor_42BOM[[#This Row],[单价]]</f>
        <v>1.9</v>
      </c>
      <c r="M5" s="3" t="s">
        <v>108</v>
      </c>
    </row>
    <row r="6" spans="1:13">
      <c r="A6" t="s">
        <v>23</v>
      </c>
      <c r="B6">
        <v>8</v>
      </c>
      <c r="C6" t="s">
        <v>24</v>
      </c>
      <c r="D6" t="s">
        <v>14</v>
      </c>
      <c r="E6" t="s">
        <v>14</v>
      </c>
      <c r="F6" t="s">
        <v>14</v>
      </c>
      <c r="G6" t="s">
        <v>15</v>
      </c>
      <c r="H6" t="s">
        <v>14</v>
      </c>
      <c r="I6" s="2">
        <v>100</v>
      </c>
      <c r="J6" s="1">
        <v>0.15</v>
      </c>
      <c r="K6" s="2">
        <f>Motor_42BOM[[#This Row],[2套数量]]*Motor_42BOM[[#This Row],[单价]]</f>
        <v>15</v>
      </c>
      <c r="M6" s="3" t="s">
        <v>108</v>
      </c>
    </row>
    <row r="7" spans="1:13">
      <c r="A7" t="s">
        <v>25</v>
      </c>
      <c r="B7">
        <v>8</v>
      </c>
      <c r="C7" t="s">
        <v>26</v>
      </c>
      <c r="D7" t="s">
        <v>14</v>
      </c>
      <c r="E7" t="s">
        <v>14</v>
      </c>
      <c r="F7" t="s">
        <v>14</v>
      </c>
      <c r="G7" t="s">
        <v>15</v>
      </c>
      <c r="H7" t="s">
        <v>14</v>
      </c>
      <c r="I7" s="2">
        <v>100</v>
      </c>
      <c r="J7" s="1">
        <v>1.9E-2</v>
      </c>
      <c r="K7" s="2">
        <f>Motor_42BOM[[#This Row],[2套数量]]*Motor_42BOM[[#This Row],[单价]]</f>
        <v>1.9</v>
      </c>
      <c r="M7" s="3" t="s">
        <v>108</v>
      </c>
    </row>
    <row r="8" spans="1:13">
      <c r="A8" t="s">
        <v>27</v>
      </c>
      <c r="B8">
        <v>8</v>
      </c>
      <c r="C8" t="s">
        <v>28</v>
      </c>
      <c r="D8" t="s">
        <v>14</v>
      </c>
      <c r="E8" t="s">
        <v>14</v>
      </c>
      <c r="F8" t="s">
        <v>14</v>
      </c>
      <c r="G8" t="s">
        <v>15</v>
      </c>
      <c r="H8" t="s">
        <v>14</v>
      </c>
      <c r="I8" s="2">
        <v>100</v>
      </c>
      <c r="J8" s="1">
        <v>0.04</v>
      </c>
      <c r="K8" s="2">
        <f>Motor_42BOM[[#This Row],[2套数量]]*Motor_42BOM[[#This Row],[单价]]</f>
        <v>4</v>
      </c>
      <c r="L8" s="3" t="s">
        <v>93</v>
      </c>
      <c r="M8" s="3" t="s">
        <v>108</v>
      </c>
    </row>
    <row r="9" spans="1:13" s="4" customFormat="1">
      <c r="A9" s="10" t="s">
        <v>29</v>
      </c>
      <c r="B9" s="10">
        <v>8</v>
      </c>
      <c r="C9" s="11" t="s">
        <v>110</v>
      </c>
      <c r="D9" s="10" t="s">
        <v>14</v>
      </c>
      <c r="E9" s="10" t="s">
        <v>14</v>
      </c>
      <c r="F9" s="10" t="s">
        <v>14</v>
      </c>
      <c r="G9" s="10" t="s">
        <v>30</v>
      </c>
      <c r="H9" s="10" t="s">
        <v>14</v>
      </c>
      <c r="I9" s="12">
        <v>20</v>
      </c>
      <c r="J9" s="1">
        <v>0.1</v>
      </c>
      <c r="K9" s="2">
        <f>Motor_42BOM[[#This Row],[2套数量]]*Motor_42BOM[[#This Row],[单价]]</f>
        <v>2</v>
      </c>
      <c r="L9" s="10"/>
      <c r="M9" s="11" t="s">
        <v>111</v>
      </c>
    </row>
    <row r="10" spans="1:13">
      <c r="A10" t="s">
        <v>31</v>
      </c>
      <c r="B10">
        <v>8</v>
      </c>
      <c r="C10" s="3" t="s">
        <v>94</v>
      </c>
      <c r="D10" t="s">
        <v>14</v>
      </c>
      <c r="E10" t="s">
        <v>14</v>
      </c>
      <c r="F10" t="s">
        <v>14</v>
      </c>
      <c r="G10" t="s">
        <v>32</v>
      </c>
      <c r="H10" t="s">
        <v>14</v>
      </c>
      <c r="I10" s="2">
        <v>20</v>
      </c>
      <c r="J10" s="1">
        <v>0.2</v>
      </c>
      <c r="K10" s="2">
        <f>Motor_42BOM[[#This Row],[2套数量]]*Motor_42BOM[[#This Row],[单价]]</f>
        <v>4</v>
      </c>
      <c r="M10" s="3" t="s">
        <v>108</v>
      </c>
    </row>
    <row r="11" spans="1:13">
      <c r="A11" t="s">
        <v>33</v>
      </c>
      <c r="B11">
        <v>16</v>
      </c>
      <c r="C11" t="s">
        <v>34</v>
      </c>
      <c r="D11" t="s">
        <v>14</v>
      </c>
      <c r="E11" t="s">
        <v>14</v>
      </c>
      <c r="F11" t="s">
        <v>14</v>
      </c>
      <c r="G11" t="s">
        <v>35</v>
      </c>
      <c r="H11" t="s">
        <v>14</v>
      </c>
      <c r="I11" s="2">
        <v>50</v>
      </c>
      <c r="J11" s="1">
        <v>0.08</v>
      </c>
      <c r="K11" s="2">
        <f>Motor_42BOM[[#This Row],[2套数量]]*Motor_42BOM[[#This Row],[单价]]</f>
        <v>4</v>
      </c>
      <c r="M11" s="3" t="s">
        <v>108</v>
      </c>
    </row>
    <row r="12" spans="1:13">
      <c r="A12" s="10" t="s">
        <v>36</v>
      </c>
      <c r="B12" s="10">
        <v>8</v>
      </c>
      <c r="C12" s="11" t="s">
        <v>112</v>
      </c>
      <c r="D12" s="10" t="s">
        <v>14</v>
      </c>
      <c r="E12" s="10" t="s">
        <v>14</v>
      </c>
      <c r="F12" s="10" t="s">
        <v>14</v>
      </c>
      <c r="G12" s="10" t="s">
        <v>35</v>
      </c>
      <c r="H12" s="10" t="s">
        <v>14</v>
      </c>
      <c r="I12" s="12">
        <v>100</v>
      </c>
      <c r="J12" s="13">
        <v>0.02</v>
      </c>
      <c r="K12" s="12">
        <f>Motor_42BOM[[#This Row],[2套数量]]*Motor_42BOM[[#This Row],[单价]]</f>
        <v>2</v>
      </c>
      <c r="L12" s="11" t="s">
        <v>136</v>
      </c>
      <c r="M12" s="11" t="s">
        <v>135</v>
      </c>
    </row>
    <row r="13" spans="1:13">
      <c r="A13" s="8" t="s">
        <v>37</v>
      </c>
      <c r="B13" s="8">
        <v>8</v>
      </c>
      <c r="C13" s="8" t="s">
        <v>38</v>
      </c>
      <c r="D13" s="8" t="s">
        <v>14</v>
      </c>
      <c r="E13" s="8" t="s">
        <v>14</v>
      </c>
      <c r="F13" s="8" t="s">
        <v>14</v>
      </c>
      <c r="G13" s="8" t="s">
        <v>39</v>
      </c>
      <c r="H13" s="8" t="s">
        <v>14</v>
      </c>
      <c r="I13" s="9">
        <f t="shared" ref="I13:I41" si="0">B13*2</f>
        <v>16</v>
      </c>
      <c r="J13" s="1">
        <v>0</v>
      </c>
      <c r="K13" s="2">
        <f>Motor_42BOM[[#This Row],[2套数量]]*Motor_42BOM[[#This Row],[单价]]</f>
        <v>0</v>
      </c>
      <c r="L13" s="8"/>
    </row>
    <row r="14" spans="1:13" s="4" customFormat="1">
      <c r="A14" s="10" t="s">
        <v>40</v>
      </c>
      <c r="B14" s="10">
        <v>16</v>
      </c>
      <c r="C14" s="10" t="s">
        <v>41</v>
      </c>
      <c r="D14" s="10" t="s">
        <v>14</v>
      </c>
      <c r="E14" s="10" t="s">
        <v>14</v>
      </c>
      <c r="F14" s="10" t="s">
        <v>14</v>
      </c>
      <c r="G14" s="11" t="s">
        <v>113</v>
      </c>
      <c r="H14" s="10" t="s">
        <v>14</v>
      </c>
      <c r="I14" s="12">
        <v>100</v>
      </c>
      <c r="J14" s="13">
        <v>0.13370000000000001</v>
      </c>
      <c r="K14" s="12">
        <f>Motor_42BOM[[#This Row],[2套数量]]*Motor_42BOM[[#This Row],[单价]]</f>
        <v>13.370000000000001</v>
      </c>
      <c r="L14" s="11" t="s">
        <v>137</v>
      </c>
      <c r="M14" s="11" t="s">
        <v>138</v>
      </c>
    </row>
    <row r="15" spans="1:13">
      <c r="A15" s="10" t="s">
        <v>42</v>
      </c>
      <c r="B15" s="10">
        <v>8</v>
      </c>
      <c r="C15" s="11" t="s">
        <v>114</v>
      </c>
      <c r="D15" s="10" t="s">
        <v>14</v>
      </c>
      <c r="E15" s="10" t="s">
        <v>14</v>
      </c>
      <c r="F15" s="10" t="s">
        <v>14</v>
      </c>
      <c r="G15" s="11" t="s">
        <v>115</v>
      </c>
      <c r="H15" s="10" t="s">
        <v>14</v>
      </c>
      <c r="I15" s="12">
        <v>100</v>
      </c>
      <c r="J15" s="13">
        <v>0.20399999999999999</v>
      </c>
      <c r="K15" s="2">
        <f>Motor_42BOM[[#This Row],[2套数量]]*Motor_42BOM[[#This Row],[单价]]</f>
        <v>20.399999999999999</v>
      </c>
      <c r="L15" s="14" t="s">
        <v>116</v>
      </c>
      <c r="M15" s="11" t="s">
        <v>117</v>
      </c>
    </row>
    <row r="16" spans="1:13">
      <c r="A16" s="10" t="s">
        <v>43</v>
      </c>
      <c r="B16" s="10">
        <v>8</v>
      </c>
      <c r="C16" s="10" t="s">
        <v>44</v>
      </c>
      <c r="D16" s="10" t="s">
        <v>14</v>
      </c>
      <c r="E16" s="10" t="s">
        <v>14</v>
      </c>
      <c r="F16" s="10" t="s">
        <v>14</v>
      </c>
      <c r="G16" s="10" t="s">
        <v>45</v>
      </c>
      <c r="H16" s="10" t="s">
        <v>14</v>
      </c>
      <c r="I16" s="12">
        <v>20</v>
      </c>
      <c r="J16" s="13">
        <v>0.31</v>
      </c>
      <c r="K16" s="2">
        <f>Motor_42BOM[[#This Row],[2套数量]]*Motor_42BOM[[#This Row],[单价]]</f>
        <v>6.2</v>
      </c>
      <c r="L16" s="10"/>
      <c r="M16" s="11" t="s">
        <v>108</v>
      </c>
    </row>
    <row r="17" spans="1:13">
      <c r="A17" s="10" t="s">
        <v>46</v>
      </c>
      <c r="B17" s="10">
        <v>8</v>
      </c>
      <c r="C17" s="11" t="s">
        <v>118</v>
      </c>
      <c r="D17" s="10" t="s">
        <v>14</v>
      </c>
      <c r="E17" s="10" t="s">
        <v>14</v>
      </c>
      <c r="F17" s="10" t="s">
        <v>14</v>
      </c>
      <c r="G17" s="10" t="s">
        <v>47</v>
      </c>
      <c r="H17" s="10" t="s">
        <v>14</v>
      </c>
      <c r="I17" s="12">
        <v>10</v>
      </c>
      <c r="J17" s="13">
        <v>0.06</v>
      </c>
      <c r="K17" s="2">
        <f>Motor_42BOM[[#This Row],[2套数量]]*Motor_42BOM[[#This Row],[单价]]</f>
        <v>0.6</v>
      </c>
      <c r="L17" s="11" t="s">
        <v>119</v>
      </c>
      <c r="M17" s="11" t="s">
        <v>108</v>
      </c>
    </row>
    <row r="18" spans="1:13">
      <c r="A18" s="10" t="s">
        <v>48</v>
      </c>
      <c r="B18" s="10">
        <v>24</v>
      </c>
      <c r="C18" s="10" t="s">
        <v>49</v>
      </c>
      <c r="D18" s="10" t="s">
        <v>14</v>
      </c>
      <c r="E18" s="10" t="s">
        <v>14</v>
      </c>
      <c r="F18" s="10" t="s">
        <v>14</v>
      </c>
      <c r="G18" s="10" t="s">
        <v>49</v>
      </c>
      <c r="H18" s="10" t="s">
        <v>14</v>
      </c>
      <c r="I18" s="12">
        <v>10</v>
      </c>
      <c r="J18" s="13">
        <v>7.0000000000000007E-2</v>
      </c>
      <c r="K18" s="2">
        <f>Motor_42BOM[[#This Row],[2套数量]]*Motor_42BOM[[#This Row],[单价]]</f>
        <v>0.70000000000000007</v>
      </c>
      <c r="L18" s="10"/>
      <c r="M18" s="11" t="s">
        <v>108</v>
      </c>
    </row>
    <row r="19" spans="1:13">
      <c r="A19" s="10" t="s">
        <v>50</v>
      </c>
      <c r="B19" s="10">
        <v>8</v>
      </c>
      <c r="C19" s="10" t="s">
        <v>51</v>
      </c>
      <c r="D19" s="10" t="s">
        <v>14</v>
      </c>
      <c r="E19" s="10" t="s">
        <v>14</v>
      </c>
      <c r="F19" s="10" t="s">
        <v>14</v>
      </c>
      <c r="G19" s="10" t="s">
        <v>51</v>
      </c>
      <c r="H19" s="10" t="s">
        <v>14</v>
      </c>
      <c r="I19" s="12">
        <v>10</v>
      </c>
      <c r="J19" s="13">
        <v>0.04</v>
      </c>
      <c r="K19" s="2">
        <f>Motor_42BOM[[#This Row],[2套数量]]*Motor_42BOM[[#This Row],[单价]]</f>
        <v>0.4</v>
      </c>
      <c r="L19" s="10"/>
      <c r="M19" s="11" t="s">
        <v>108</v>
      </c>
    </row>
    <row r="20" spans="1:13">
      <c r="A20" t="s">
        <v>52</v>
      </c>
      <c r="B20">
        <v>40</v>
      </c>
      <c r="C20" t="s">
        <v>53</v>
      </c>
      <c r="D20" t="s">
        <v>14</v>
      </c>
      <c r="E20" t="s">
        <v>14</v>
      </c>
      <c r="F20" t="s">
        <v>14</v>
      </c>
      <c r="G20" t="s">
        <v>54</v>
      </c>
      <c r="H20" t="s">
        <v>14</v>
      </c>
      <c r="I20" s="2">
        <v>20</v>
      </c>
      <c r="J20" s="1">
        <v>0.16</v>
      </c>
      <c r="K20" s="2">
        <f>Motor_42BOM[[#This Row],[2套数量]]*Motor_42BOM[[#This Row],[单价]]</f>
        <v>3.2</v>
      </c>
      <c r="M20" s="3" t="s">
        <v>108</v>
      </c>
    </row>
    <row r="21" spans="1:13">
      <c r="A21" t="s">
        <v>55</v>
      </c>
      <c r="B21">
        <v>16</v>
      </c>
      <c r="C21" t="s">
        <v>56</v>
      </c>
      <c r="D21" t="s">
        <v>14</v>
      </c>
      <c r="E21" t="s">
        <v>14</v>
      </c>
      <c r="F21" t="s">
        <v>14</v>
      </c>
      <c r="G21" t="s">
        <v>57</v>
      </c>
      <c r="H21" t="s">
        <v>14</v>
      </c>
      <c r="I21" s="2">
        <v>50</v>
      </c>
      <c r="J21" s="1">
        <v>5.5999999999999994E-2</v>
      </c>
      <c r="K21" s="2">
        <f>Motor_42BOM[[#This Row],[2套数量]]*Motor_42BOM[[#This Row],[单价]]</f>
        <v>2.8</v>
      </c>
      <c r="M21" s="3" t="s">
        <v>108</v>
      </c>
    </row>
    <row r="22" spans="1:13">
      <c r="A22" t="s">
        <v>58</v>
      </c>
      <c r="B22">
        <v>8</v>
      </c>
      <c r="C22" s="3" t="s">
        <v>95</v>
      </c>
      <c r="D22" t="s">
        <v>14</v>
      </c>
      <c r="E22" t="s">
        <v>14</v>
      </c>
      <c r="F22" t="s">
        <v>14</v>
      </c>
      <c r="G22" t="s">
        <v>54</v>
      </c>
      <c r="H22" t="s">
        <v>14</v>
      </c>
      <c r="I22" s="2">
        <v>50</v>
      </c>
      <c r="J22" s="1">
        <v>0.09</v>
      </c>
      <c r="K22" s="2">
        <f>Motor_42BOM[[#This Row],[2套数量]]*Motor_42BOM[[#This Row],[单价]]</f>
        <v>4.5</v>
      </c>
      <c r="M22" s="3" t="s">
        <v>108</v>
      </c>
    </row>
    <row r="23" spans="1:13">
      <c r="A23" t="s">
        <v>59</v>
      </c>
      <c r="B23">
        <v>8</v>
      </c>
      <c r="C23" t="s">
        <v>60</v>
      </c>
      <c r="D23" t="s">
        <v>14</v>
      </c>
      <c r="E23" t="s">
        <v>14</v>
      </c>
      <c r="F23" t="s">
        <v>14</v>
      </c>
      <c r="G23" t="s">
        <v>54</v>
      </c>
      <c r="H23" t="s">
        <v>14</v>
      </c>
      <c r="I23" s="2">
        <v>100</v>
      </c>
      <c r="J23" s="1">
        <v>1.4999999999999999E-2</v>
      </c>
      <c r="K23" s="2">
        <f>Motor_42BOM[[#This Row],[2套数量]]*Motor_42BOM[[#This Row],[单价]]</f>
        <v>1.5</v>
      </c>
      <c r="M23" s="3" t="s">
        <v>108</v>
      </c>
    </row>
    <row r="24" spans="1:13">
      <c r="A24" t="s">
        <v>61</v>
      </c>
      <c r="B24">
        <v>32</v>
      </c>
      <c r="C24" t="s">
        <v>62</v>
      </c>
      <c r="D24" t="s">
        <v>14</v>
      </c>
      <c r="E24" t="s">
        <v>14</v>
      </c>
      <c r="F24" t="s">
        <v>14</v>
      </c>
      <c r="G24" t="s">
        <v>54</v>
      </c>
      <c r="H24" t="s">
        <v>14</v>
      </c>
      <c r="I24" s="2">
        <v>100</v>
      </c>
      <c r="J24" s="1">
        <v>1.4999999999999999E-2</v>
      </c>
      <c r="K24" s="2">
        <f>Motor_42BOM[[#This Row],[2套数量]]*Motor_42BOM[[#This Row],[单价]]</f>
        <v>1.5</v>
      </c>
      <c r="M24" s="3" t="s">
        <v>108</v>
      </c>
    </row>
    <row r="25" spans="1:13">
      <c r="A25" s="7" t="s">
        <v>97</v>
      </c>
      <c r="B25" s="4">
        <v>16</v>
      </c>
      <c r="C25" s="7" t="s">
        <v>96</v>
      </c>
      <c r="D25" s="4" t="s">
        <v>14</v>
      </c>
      <c r="E25" s="4" t="s">
        <v>14</v>
      </c>
      <c r="F25" s="4" t="s">
        <v>14</v>
      </c>
      <c r="G25" s="4" t="s">
        <v>54</v>
      </c>
      <c r="H25" s="4" t="s">
        <v>14</v>
      </c>
      <c r="I25" s="5">
        <v>20</v>
      </c>
      <c r="J25" s="6">
        <v>0.3</v>
      </c>
      <c r="K25" s="2">
        <f>Motor_42BOM[[#This Row],[2套数量]]*Motor_42BOM[[#This Row],[单价]]</f>
        <v>6</v>
      </c>
      <c r="L25" s="7" t="s">
        <v>98</v>
      </c>
      <c r="M25" s="3" t="s">
        <v>108</v>
      </c>
    </row>
    <row r="26" spans="1:13">
      <c r="A26" t="s">
        <v>63</v>
      </c>
      <c r="B26">
        <v>8</v>
      </c>
      <c r="C26" t="s">
        <v>64</v>
      </c>
      <c r="D26" t="s">
        <v>14</v>
      </c>
      <c r="E26" t="s">
        <v>14</v>
      </c>
      <c r="F26" t="s">
        <v>14</v>
      </c>
      <c r="G26" t="s">
        <v>54</v>
      </c>
      <c r="H26" t="s">
        <v>14</v>
      </c>
      <c r="I26" s="2">
        <v>100</v>
      </c>
      <c r="J26" s="1">
        <v>0.06</v>
      </c>
      <c r="K26" s="2">
        <f>Motor_42BOM[[#This Row],[2套数量]]*Motor_42BOM[[#This Row],[单价]]</f>
        <v>6</v>
      </c>
      <c r="M26" s="3" t="s">
        <v>108</v>
      </c>
    </row>
    <row r="27" spans="1:13">
      <c r="A27" t="s">
        <v>65</v>
      </c>
      <c r="B27">
        <v>8</v>
      </c>
      <c r="C27" t="s">
        <v>66</v>
      </c>
      <c r="D27" t="s">
        <v>14</v>
      </c>
      <c r="E27" t="s">
        <v>14</v>
      </c>
      <c r="F27" t="s">
        <v>14</v>
      </c>
      <c r="G27" t="s">
        <v>54</v>
      </c>
      <c r="H27" t="s">
        <v>14</v>
      </c>
      <c r="I27" s="2">
        <v>20</v>
      </c>
      <c r="J27" s="1">
        <v>0.16</v>
      </c>
      <c r="K27" s="2">
        <f>Motor_42BOM[[#This Row],[2套数量]]*Motor_42BOM[[#This Row],[单价]]</f>
        <v>3.2</v>
      </c>
      <c r="M27" s="3" t="s">
        <v>108</v>
      </c>
    </row>
    <row r="28" spans="1:13">
      <c r="A28" s="4" t="s">
        <v>67</v>
      </c>
      <c r="B28" s="4">
        <v>8</v>
      </c>
      <c r="C28" s="4" t="s">
        <v>68</v>
      </c>
      <c r="D28" s="4" t="s">
        <v>14</v>
      </c>
      <c r="E28" s="4" t="s">
        <v>14</v>
      </c>
      <c r="F28" s="4" t="s">
        <v>14</v>
      </c>
      <c r="G28" s="4" t="s">
        <v>54</v>
      </c>
      <c r="H28" s="4" t="s">
        <v>14</v>
      </c>
      <c r="I28" s="5">
        <f t="shared" si="0"/>
        <v>16</v>
      </c>
      <c r="J28" s="6">
        <v>0.25</v>
      </c>
      <c r="K28" s="2">
        <f>Motor_42BOM[[#This Row],[2套数量]]*Motor_42BOM[[#This Row],[单价]]</f>
        <v>4</v>
      </c>
      <c r="L28" s="7" t="s">
        <v>98</v>
      </c>
      <c r="M28" s="3" t="s">
        <v>108</v>
      </c>
    </row>
    <row r="29" spans="1:13">
      <c r="A29" s="10" t="s">
        <v>69</v>
      </c>
      <c r="B29" s="10">
        <v>8</v>
      </c>
      <c r="C29" s="11" t="s">
        <v>120</v>
      </c>
      <c r="D29" s="10" t="s">
        <v>14</v>
      </c>
      <c r="E29" s="10" t="s">
        <v>14</v>
      </c>
      <c r="F29" s="10" t="s">
        <v>14</v>
      </c>
      <c r="G29" s="11" t="s">
        <v>121</v>
      </c>
      <c r="H29" s="10" t="s">
        <v>14</v>
      </c>
      <c r="I29" s="12">
        <v>100</v>
      </c>
      <c r="J29" s="13">
        <v>0.02</v>
      </c>
      <c r="K29" s="2">
        <f>Motor_42BOM[[#This Row],[2套数量]]*Motor_42BOM[[#This Row],[单价]]</f>
        <v>2</v>
      </c>
      <c r="L29" s="10"/>
      <c r="M29" s="3" t="s">
        <v>122</v>
      </c>
    </row>
    <row r="30" spans="1:13">
      <c r="A30" s="10" t="s">
        <v>70</v>
      </c>
      <c r="B30" s="10">
        <v>8</v>
      </c>
      <c r="C30" s="10" t="s">
        <v>71</v>
      </c>
      <c r="D30" s="10" t="s">
        <v>14</v>
      </c>
      <c r="E30" s="10" t="s">
        <v>14</v>
      </c>
      <c r="F30" s="10" t="s">
        <v>14</v>
      </c>
      <c r="G30" s="10" t="s">
        <v>54</v>
      </c>
      <c r="H30" s="10" t="s">
        <v>14</v>
      </c>
      <c r="I30" s="12">
        <v>100</v>
      </c>
      <c r="J30" s="13">
        <v>0.02</v>
      </c>
      <c r="K30" s="2">
        <f>Motor_42BOM[[#This Row],[2套数量]]*Motor_42BOM[[#This Row],[单价]]</f>
        <v>2</v>
      </c>
      <c r="L30" s="10"/>
      <c r="M30" s="3" t="s">
        <v>122</v>
      </c>
    </row>
    <row r="31" spans="1:13" ht="15">
      <c r="A31" s="10" t="s">
        <v>72</v>
      </c>
      <c r="B31" s="10">
        <v>16</v>
      </c>
      <c r="C31" s="10" t="s">
        <v>73</v>
      </c>
      <c r="D31" s="10" t="s">
        <v>14</v>
      </c>
      <c r="E31" s="10" t="s">
        <v>14</v>
      </c>
      <c r="F31" s="10" t="s">
        <v>14</v>
      </c>
      <c r="G31" s="10" t="s">
        <v>74</v>
      </c>
      <c r="H31" s="10" t="s">
        <v>14</v>
      </c>
      <c r="I31" s="12">
        <v>50</v>
      </c>
      <c r="J31" s="13">
        <v>8.7999999999999995E-2</v>
      </c>
      <c r="K31" s="12">
        <f>Motor_42BOM[[#This Row],[2套数量]]*Motor_42BOM[[#This Row],[单价]]</f>
        <v>4.3999999999999995</v>
      </c>
      <c r="L31" s="15" t="s">
        <v>139</v>
      </c>
      <c r="M31" s="11" t="s">
        <v>140</v>
      </c>
    </row>
    <row r="32" spans="1:13">
      <c r="A32" s="10" t="s">
        <v>75</v>
      </c>
      <c r="B32" s="10">
        <v>16</v>
      </c>
      <c r="C32" s="11" t="s">
        <v>99</v>
      </c>
      <c r="D32" s="10" t="s">
        <v>14</v>
      </c>
      <c r="E32" s="10" t="s">
        <v>14</v>
      </c>
      <c r="F32" s="10" t="s">
        <v>14</v>
      </c>
      <c r="G32" s="11" t="s">
        <v>123</v>
      </c>
      <c r="H32" s="10" t="s">
        <v>14</v>
      </c>
      <c r="I32" s="12">
        <v>8</v>
      </c>
      <c r="J32" s="13">
        <v>1.45</v>
      </c>
      <c r="K32" s="2">
        <f>Motor_42BOM[[#This Row],[2套数量]]*Motor_42BOM[[#This Row],[单价]]</f>
        <v>11.6</v>
      </c>
      <c r="L32" s="10"/>
      <c r="M32" s="11" t="s">
        <v>124</v>
      </c>
    </row>
    <row r="33" spans="1:13">
      <c r="A33" s="10" t="s">
        <v>76</v>
      </c>
      <c r="B33" s="10">
        <v>8</v>
      </c>
      <c r="C33" s="11" t="s">
        <v>125</v>
      </c>
      <c r="D33" s="10" t="s">
        <v>14</v>
      </c>
      <c r="E33" s="10" t="s">
        <v>14</v>
      </c>
      <c r="F33" s="10" t="s">
        <v>14</v>
      </c>
      <c r="G33" s="10" t="s">
        <v>77</v>
      </c>
      <c r="H33" s="10" t="s">
        <v>14</v>
      </c>
      <c r="I33" s="12">
        <v>4</v>
      </c>
      <c r="J33" s="13">
        <v>4.45</v>
      </c>
      <c r="K33" s="2">
        <f>Motor_42BOM[[#This Row],[2套数量]]*Motor_42BOM[[#This Row],[单价]]</f>
        <v>17.8</v>
      </c>
      <c r="L33" s="10"/>
      <c r="M33" s="11" t="s">
        <v>126</v>
      </c>
    </row>
    <row r="34" spans="1:13">
      <c r="A34" s="4" t="s">
        <v>78</v>
      </c>
      <c r="B34" s="4">
        <v>8</v>
      </c>
      <c r="C34" s="7" t="s">
        <v>100</v>
      </c>
      <c r="D34" s="4" t="s">
        <v>14</v>
      </c>
      <c r="E34" s="4" t="s">
        <v>14</v>
      </c>
      <c r="F34" s="4" t="s">
        <v>14</v>
      </c>
      <c r="G34" s="4" t="s">
        <v>79</v>
      </c>
      <c r="H34" s="4" t="s">
        <v>14</v>
      </c>
      <c r="I34" s="5">
        <v>20</v>
      </c>
      <c r="J34" s="6">
        <v>0.88</v>
      </c>
      <c r="K34" s="2">
        <f>Motor_42BOM[[#This Row],[2套数量]]*Motor_42BOM[[#This Row],[单价]]</f>
        <v>17.600000000000001</v>
      </c>
      <c r="L34" s="7" t="s">
        <v>101</v>
      </c>
      <c r="M34" s="3" t="s">
        <v>108</v>
      </c>
    </row>
    <row r="35" spans="1:13">
      <c r="A35" s="10" t="s">
        <v>80</v>
      </c>
      <c r="B35" s="10">
        <v>8</v>
      </c>
      <c r="C35" s="11" t="s">
        <v>102</v>
      </c>
      <c r="D35" s="10" t="s">
        <v>14</v>
      </c>
      <c r="E35" s="10" t="s">
        <v>14</v>
      </c>
      <c r="F35" s="10" t="s">
        <v>14</v>
      </c>
      <c r="G35" s="10" t="s">
        <v>81</v>
      </c>
      <c r="H35" s="10" t="s">
        <v>14</v>
      </c>
      <c r="I35" s="12">
        <v>4</v>
      </c>
      <c r="J35" s="13">
        <v>1.5</v>
      </c>
      <c r="K35" s="2">
        <f>Motor_42BOM[[#This Row],[2套数量]]*Motor_42BOM[[#This Row],[单价]]</f>
        <v>6</v>
      </c>
      <c r="L35" s="11" t="s">
        <v>127</v>
      </c>
      <c r="M35" s="3" t="s">
        <v>128</v>
      </c>
    </row>
    <row r="36" spans="1:13" ht="15">
      <c r="A36" s="10" t="s">
        <v>82</v>
      </c>
      <c r="B36" s="10">
        <v>8</v>
      </c>
      <c r="C36" s="11" t="s">
        <v>103</v>
      </c>
      <c r="D36" s="10" t="s">
        <v>14</v>
      </c>
      <c r="E36" s="10" t="s">
        <v>14</v>
      </c>
      <c r="F36" s="10" t="s">
        <v>14</v>
      </c>
      <c r="G36" s="10" t="s">
        <v>83</v>
      </c>
      <c r="H36" s="10" t="s">
        <v>14</v>
      </c>
      <c r="I36" s="12">
        <v>4</v>
      </c>
      <c r="J36" s="13">
        <v>0.49</v>
      </c>
      <c r="K36" s="2">
        <f>Motor_42BOM[[#This Row],[2套数量]]*Motor_42BOM[[#This Row],[单价]]</f>
        <v>1.96</v>
      </c>
      <c r="L36" s="14" t="s">
        <v>141</v>
      </c>
      <c r="M36" s="11" t="s">
        <v>129</v>
      </c>
    </row>
    <row r="37" spans="1:13">
      <c r="A37" s="10" t="s">
        <v>84</v>
      </c>
      <c r="B37" s="10">
        <v>8</v>
      </c>
      <c r="C37" s="11" t="s">
        <v>104</v>
      </c>
      <c r="D37" s="10" t="s">
        <v>14</v>
      </c>
      <c r="E37" s="10" t="s">
        <v>14</v>
      </c>
      <c r="F37" s="10" t="s">
        <v>14</v>
      </c>
      <c r="G37" s="10" t="s">
        <v>85</v>
      </c>
      <c r="H37" s="10" t="s">
        <v>14</v>
      </c>
      <c r="I37" s="12">
        <v>4</v>
      </c>
      <c r="J37" s="13">
        <v>3.9</v>
      </c>
      <c r="K37" s="2">
        <f>Motor_42BOM[[#This Row],[2套数量]]*Motor_42BOM[[#This Row],[单价]]</f>
        <v>15.6</v>
      </c>
      <c r="L37" s="11" t="s">
        <v>130</v>
      </c>
      <c r="M37" s="11" t="s">
        <v>131</v>
      </c>
    </row>
    <row r="38" spans="1:13">
      <c r="A38" s="10" t="s">
        <v>86</v>
      </c>
      <c r="B38" s="10">
        <v>8</v>
      </c>
      <c r="C38" s="11" t="s">
        <v>105</v>
      </c>
      <c r="D38" s="10" t="s">
        <v>14</v>
      </c>
      <c r="E38" s="10" t="s">
        <v>14</v>
      </c>
      <c r="F38" s="10" t="s">
        <v>14</v>
      </c>
      <c r="G38" s="10" t="s">
        <v>81</v>
      </c>
      <c r="H38" s="10" t="s">
        <v>14</v>
      </c>
      <c r="I38" s="12">
        <v>4</v>
      </c>
      <c r="J38" s="13">
        <v>3.76</v>
      </c>
      <c r="K38" s="2">
        <f>Motor_42BOM[[#This Row],[2套数量]]*Motor_42BOM[[#This Row],[单价]]</f>
        <v>15.04</v>
      </c>
      <c r="L38" s="14" t="s">
        <v>132</v>
      </c>
      <c r="M38" s="11" t="s">
        <v>133</v>
      </c>
    </row>
    <row r="39" spans="1:13">
      <c r="A39" s="10" t="s">
        <v>87</v>
      </c>
      <c r="B39" s="10">
        <v>8</v>
      </c>
      <c r="C39" s="11" t="s">
        <v>106</v>
      </c>
      <c r="D39" s="10" t="s">
        <v>14</v>
      </c>
      <c r="E39" s="10" t="s">
        <v>14</v>
      </c>
      <c r="F39" s="10" t="s">
        <v>14</v>
      </c>
      <c r="G39" s="10" t="s">
        <v>85</v>
      </c>
      <c r="H39" s="10" t="s">
        <v>14</v>
      </c>
      <c r="I39" s="12">
        <v>4</v>
      </c>
      <c r="J39" s="13">
        <v>3.5</v>
      </c>
      <c r="K39" s="2">
        <f>Motor_42BOM[[#This Row],[2套数量]]*Motor_42BOM[[#This Row],[单价]]</f>
        <v>14</v>
      </c>
      <c r="L39" s="14" t="s">
        <v>134</v>
      </c>
      <c r="M39" s="10"/>
    </row>
    <row r="40" spans="1:13">
      <c r="A40" s="4" t="s">
        <v>88</v>
      </c>
      <c r="B40" s="4">
        <v>8</v>
      </c>
      <c r="C40" s="4" t="s">
        <v>89</v>
      </c>
      <c r="D40" s="4" t="s">
        <v>14</v>
      </c>
      <c r="E40" s="4" t="s">
        <v>14</v>
      </c>
      <c r="F40" s="4" t="s">
        <v>14</v>
      </c>
      <c r="G40" s="4" t="s">
        <v>90</v>
      </c>
      <c r="H40" s="4" t="s">
        <v>14</v>
      </c>
      <c r="I40" s="5">
        <v>10</v>
      </c>
      <c r="J40" s="6">
        <v>0.67999999999999994</v>
      </c>
      <c r="K40" s="2">
        <f>Motor_42BOM[[#This Row],[2套数量]]*Motor_42BOM[[#This Row],[单价]]</f>
        <v>6.7999999999999989</v>
      </c>
      <c r="L40" s="7" t="s">
        <v>107</v>
      </c>
      <c r="M40" s="3" t="s">
        <v>108</v>
      </c>
    </row>
    <row r="41" spans="1:13">
      <c r="I41" s="2">
        <f t="shared" si="0"/>
        <v>0</v>
      </c>
      <c r="K41" s="2">
        <f>SUM(K2:K40)</f>
        <v>236.17000000000002</v>
      </c>
    </row>
  </sheetData>
  <phoneticPr fontId="3" type="noConversion"/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/>
  <sheetData/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OY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2qpCNiAEAAGECAAATAAAARm9ybXVsYXMvU2VjdGlvbjEubWVRzUobURReG8g7XKabBMYBq0hbmYXJKOkiGptgF46L68yJueXOPeHcM5IQ3BVclFIXLqSCSN+g0E3b5zHSt+jRhLZp7uaen+983/nxkLFBp7qzf22rWqlW/EAT5OpZ0EZGWt143thvBypWFrhaUfKmPy7FbfqzKMGsLMBxbddYiJroWBxfC5JXaYY5pEPCd0KdEp4gm2ybirQYpy1N+VvR6DQb6ZNGQuYMaGbP9CIecVAPjxKwpjAMFAcrQaiaaMvC+fhFqHacKBh3Gr9c3wzVQYkMXR5biP+a0R46OK6H864/Xd5/vHj4/H56d/Hry7VM0NMn0nWHsJDiFugcyNdkuFAdzYPb1nYzbTX5mKn8h+vm2/Tqu3A9fP15f/vhD1ePtPN9pGLWaG88BGFcFA4nk+AN9IHAZSAzsYAUw4jPQzUJDngssdeONzeix/Kn4KG25TI02essle+MMlvmoPoylHq82//8iwCUSyxBdhF5SMbxUibRrP0AYDFzXq9WjJsveXExW78B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DUAgAAW0NvbnRlbnRfVHlwZXNdLnhtbFBLAQIUAAoAAAAAAIdO4kAAAAAAAAAAAAAAAAAHAAAAAAAAAAAAEAAAAAAAAABDb25maWcvUEsBAhQAFAAAAAgAh07iQBI4/pifAAAA8wAAABIAAAAAAAAAAQAgAAAAJQAAAENvbmZpZy9QYWNrYWdlLnhtbFBLAQIUAAoAAAAAAIdO4kAAAAAAAAAAAAAAAAAJAAAAAAAAAAAAEAAAAPQAAABGb3JtdWxhcy9QSwECFAAUAAAACACHTuJA9qqQjYgBAABhAgAAEwAAAAAAAAABACAAAAAbAQAARm9ybXVsYXMvU2VjdGlvbjEubVBLBQYAAAAABQAFAC4BAACiAw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cAQAAAAAAABOBA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IC8+PC9JdGVtPjxJdGVtPjxJdGVtTG9jYXRpb24+PEl0ZW1UeXBlPkZvcm11bGE8L0l0ZW1UeXBlPjxJdGVtUGF0aD5TZWN0aW9uMS9Nb3Rvci00MkJPTTwvSXRlbVBhdGg+PC9JdGVtTG9jYXRpb24+PFN0YWJsZUVudHJpZXM+PEVudHJ5IFR5cGU9IklzUHJpdmF0ZSIgVmFsdWU9ImwwIiAvPjxFbnRyeSBUeXBlPSJGaWxsRW5hYmxlZCIgVmFsdWU9ImwxIiAvPjxFbnRyeSBUeXBlPSJGaWxsT2JqZWN0VHlwZSIgVmFsdWU9InNUYWJsZSIgLz48RW50cnkgVHlwZT0iUXVlcnlJRCIgVmFsdWU9InM3OGExNzE0Ny0zMmRiLTQ0ZWEtYTY2Ni0xZmNiOGIwOTFmOTIiIC8+PEVudHJ5IFR5cGU9IlJlc3VsdFR5cGUiIFZhbHVlPSJzVGFibGUiIC8+PEVudHJ5IFR5cGU9IkZpbGxUYXJnZXQiIFZhbHVlPSJzTW90b3JfNDJCT00iIC8+PEVudHJ5IFR5cGU9IkZpbGxDb3VudCIgVmFsdWU9Imw0MCIgLz48RW50cnkgVHlwZT0iRmlsbEVycm9yQ291bnQiIFZhbHVlPSJsMCIgLz48RW50cnkgVHlwZT0iRmlsbExhc3RVcGRhdGVkIiBWYWx1ZT0iZDIwMjYtMDYtMDhUMDg6MzU6MDQuOTgwMDAwMFoiIC8+PEVudHJ5IFR5cGU9IkZpbGxDb2x1bW5OYW1lcyIgVmFsdWU9J3NbJnF1b3Q7UmVmZXJlbmNlJnF1b3Q7LCZxdW90O1F0eSZxdW90OywmcXVvdDtWYWx1ZSZxdW90OywmcXVvdDtETlAmcXVvdDssJnF1b3Q7RXhjbHVkZSBmcm9tIEJPTSZxdW90OywmcXVvdDtFeGNsdWRlIGZyb20gQm9hcmQmcXVvdDssJnF1b3Q7Rm9vdHByaW50JnF1b3Q7LCZxdW90O0RhdGFzaGVldCZxdW90O10nIC8+PC9TdGFibGVFbnRyaWVzPjwvSXRlbT48L0l0ZW1zPjwvTG9jYWxQYWNrYWdlTWV0YWRhdGFGaWxlPhYAAABQSwUGAAAAAAAAAAAAAAAAAAAAAAAAJgEAAAEAAADQjJ3fARXREYx6AMBPwpfrAQAAAC4QBpQ98ENJuMHU4Mnj00wAAAAAAgAAAAAAEGYAAAABAAAgAAAAwHf636pbDpYuA9LAImK0naF5ScvrR0vVUIbk+xn1Il0AAAAADoAAAAACAAAgAAAAHRVBAZZmFM2x/6t2eSbKEP2UbCywqFL42/9IlOS0PAlQAAAANRGwoj4llnWmgQY7ZuNF2EFbIXnIq2oCQNHFRKKUMsdDPuVRYVmfAjZnSwBoWXDCBtrIMxLwTYjQdjtSC3Iv1gWZ1m6epjR3Ba49MChEYwVAAAAADe/P95kEJYm/OvSzpXTShwaBmvT97B6ohnSKCHwEKSLDCoa2cDPCkfR5o7NHdpSJNgiunJuKMhul8d3gGUECjw==</DataMashup>
</file>

<file path=customXml/itemProps1.xml><?xml version="1.0" encoding="utf-8"?>
<ds:datastoreItem xmlns:ds="http://schemas.openxmlformats.org/officeDocument/2006/customXml" ds:itemID="{19DC9300-18F6-45CF-8198-11F09F6441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徐志豪</dc:creator>
  <cp:lastModifiedBy>徐志豪</cp:lastModifiedBy>
  <dcterms:created xsi:type="dcterms:W3CDTF">2015-06-05T18:19:00Z</dcterms:created>
  <dcterms:modified xsi:type="dcterms:W3CDTF">2026-06-09T11:24:53Z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1C626F6BB6DC4E5C8C8D6A688E098EB0_12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